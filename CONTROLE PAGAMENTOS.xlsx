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d.docs.live.net/73038f4e0e625833/Documentos/^N^Ndocs herança irmãos/"/>
    </mc:Choice>
  </mc:AlternateContent>
  <xr:revisionPtr revIDLastSave="246" documentId="13_ncr:1_{2D728367-8876-40E2-BEB6-2B86418D7EA9}" xr6:coauthVersionLast="47" xr6:coauthVersionMax="47" xr10:uidLastSave="{B0AFF59E-9350-4374-9C76-BAD97F11ABEB}"/>
  <bookViews>
    <workbookView xWindow="-120" yWindow="-120" windowWidth="29040" windowHeight="16440" xr2:uid="{8957FC98-F8EC-452D-BD69-ADFEA55FA2C2}"/>
  </bookViews>
  <sheets>
    <sheet name="Controle Geral" sheetId="1" r:id="rId1"/>
    <sheet name="Registro de Pagament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I2" i="2" a="1"/>
  <c r="I2" i="2"/>
  <c r="I3" i="2" a="1"/>
  <c r="I3" i="2"/>
  <c r="I4" i="2" a="1"/>
  <c r="I4" i="2"/>
  <c r="I5" i="2" a="1"/>
  <c r="I5" i="2"/>
  <c r="I6" i="2" a="1"/>
  <c r="I6" i="2"/>
  <c r="I7" i="2" a="1"/>
  <c r="I7" i="2"/>
  <c r="I8" i="2" a="1"/>
  <c r="I8" i="2"/>
  <c r="I9" i="2" a="1"/>
  <c r="I9" i="2"/>
  <c r="I10" i="2" a="1"/>
  <c r="I10" i="2"/>
  <c r="I11" i="2" a="1"/>
  <c r="I11" i="2"/>
  <c r="I12" i="2" a="1"/>
  <c r="I12" i="2"/>
  <c r="I13" i="2" a="1"/>
  <c r="I13" i="2"/>
  <c r="I14" i="2" a="1"/>
  <c r="I14" i="2"/>
  <c r="I15" i="2" a="1"/>
  <c r="I15" i="2"/>
  <c r="I16" i="2" a="1"/>
  <c r="I16" i="2"/>
  <c r="I17" i="2" a="1"/>
  <c r="I17" i="2"/>
  <c r="I18" i="2" a="1"/>
  <c r="I18" i="2"/>
  <c r="I19" i="2" a="1"/>
  <c r="I19" i="2"/>
  <c r="I20" i="2" a="1"/>
  <c r="I20" i="2"/>
  <c r="I21" i="2" a="1"/>
  <c r="I21" i="2"/>
  <c r="I22" i="2" a="1"/>
  <c r="I22" i="2"/>
  <c r="I23" i="2" a="1"/>
  <c r="I23" i="2"/>
  <c r="I24" i="2" a="1"/>
  <c r="I24" i="2"/>
  <c r="I25" i="2" a="1"/>
  <c r="I25" i="2"/>
  <c r="I26" i="2" a="1"/>
  <c r="I26" i="2"/>
  <c r="I27" i="2" a="1"/>
  <c r="I27" i="2"/>
  <c r="I28" i="2" a="1"/>
  <c r="I28" i="2"/>
  <c r="I29" i="2" a="1"/>
  <c r="I29" i="2"/>
  <c r="I30" i="2" a="1"/>
  <c r="I30" i="2"/>
  <c r="I31" i="2" a="1"/>
  <c r="I31" i="2"/>
  <c r="I32" i="2" a="1"/>
  <c r="I32" i="2"/>
  <c r="I33" i="2" a="1"/>
  <c r="I33" i="2"/>
  <c r="I34" i="2" a="1"/>
  <c r="I34" i="2"/>
  <c r="I35" i="2" a="1"/>
  <c r="I35" i="2"/>
  <c r="I36" i="2" a="1"/>
  <c r="I36" i="2"/>
  <c r="I37" i="2" a="1"/>
  <c r="I37" i="2"/>
  <c r="I38" i="2" a="1"/>
  <c r="I38" i="2"/>
  <c r="I39" i="2" a="1"/>
  <c r="I39" i="2"/>
  <c r="I40" i="2" a="1"/>
  <c r="I40" i="2"/>
  <c r="I41" i="2" a="1"/>
  <c r="I41" i="2"/>
  <c r="I42" i="2" a="1"/>
  <c r="I42" i="2"/>
  <c r="I43" i="2" a="1"/>
  <c r="I43" i="2"/>
  <c r="I44" i="2" a="1"/>
  <c r="I44" i="2"/>
  <c r="I45" i="2" a="1"/>
  <c r="I45" i="2"/>
  <c r="I46" i="2" a="1"/>
  <c r="I46" i="2"/>
  <c r="I47" i="2" a="1"/>
  <c r="I47" i="2"/>
  <c r="I48" i="2" a="1"/>
  <c r="I48" i="2"/>
  <c r="I49" i="2" a="1"/>
  <c r="I49" i="2"/>
  <c r="I50" i="2" a="1"/>
  <c r="I50" i="2"/>
  <c r="I51" i="2" a="1"/>
  <c r="I51" i="2"/>
  <c r="I52" i="2" a="1"/>
  <c r="I52" i="2"/>
  <c r="I53" i="2" a="1"/>
  <c r="I53" i="2"/>
  <c r="I54" i="2" a="1"/>
  <c r="I54" i="2"/>
  <c r="I55" i="2" a="1"/>
  <c r="I55" i="2"/>
  <c r="B53" i="2"/>
  <c r="B54" i="2"/>
  <c r="B55" i="2"/>
  <c r="C53" i="2"/>
  <c r="C54" i="2"/>
  <c r="C55" i="2"/>
  <c r="G53" i="2"/>
  <c r="G54" i="2"/>
  <c r="G55" i="2"/>
  <c r="J53" i="2"/>
  <c r="J54" i="2"/>
  <c r="J55" i="2"/>
  <c r="K53" i="2"/>
  <c r="K54" i="2"/>
  <c r="K55" i="2"/>
  <c r="L53" i="2"/>
  <c r="L54" i="2"/>
  <c r="L55" i="2"/>
  <c r="B50" i="2"/>
  <c r="B51" i="2"/>
  <c r="B52" i="2"/>
  <c r="C50" i="2"/>
  <c r="C51" i="2"/>
  <c r="C52" i="2"/>
  <c r="G50" i="2"/>
  <c r="G51" i="2"/>
  <c r="G52" i="2"/>
  <c r="J50" i="2"/>
  <c r="J51" i="2"/>
  <c r="J52" i="2"/>
  <c r="K50" i="2"/>
  <c r="K51" i="2"/>
  <c r="K52" i="2"/>
  <c r="L50" i="2"/>
  <c r="L51" i="2"/>
  <c r="L52" i="2"/>
  <c r="B47" i="2"/>
  <c r="B48" i="2"/>
  <c r="B49" i="2"/>
  <c r="C47" i="2"/>
  <c r="C48" i="2"/>
  <c r="C49" i="2"/>
  <c r="G47" i="2"/>
  <c r="G48" i="2"/>
  <c r="G49" i="2"/>
  <c r="J47" i="2"/>
  <c r="J48" i="2"/>
  <c r="J49" i="2"/>
  <c r="K47" i="2"/>
  <c r="K48" i="2"/>
  <c r="K49" i="2"/>
  <c r="L47" i="2"/>
  <c r="L48" i="2"/>
  <c r="L49" i="2"/>
  <c r="B8" i="1"/>
  <c r="C8" i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B38" i="2"/>
  <c r="B39" i="2"/>
  <c r="B40" i="2"/>
  <c r="B41" i="2"/>
  <c r="B42" i="2"/>
  <c r="B43" i="2"/>
  <c r="B44" i="2"/>
  <c r="B45" i="2"/>
  <c r="B46" i="2"/>
  <c r="G38" i="2"/>
  <c r="G39" i="2"/>
  <c r="G40" i="2"/>
  <c r="G41" i="2"/>
  <c r="G42" i="2"/>
  <c r="G43" i="2"/>
  <c r="G44" i="2"/>
  <c r="G45" i="2"/>
  <c r="G46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E4" i="1" l="1"/>
  <c r="F4" i="1" s="1"/>
  <c r="E3" i="1"/>
  <c r="F3" i="1" s="1"/>
  <c r="E2" i="1" l="1"/>
  <c r="F2" i="1" s="1"/>
  <c r="B9" i="1"/>
  <c r="C9" i="1" l="1"/>
  <c r="B10" i="1"/>
  <c r="C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<sst xmlns="http://schemas.openxmlformats.org/spreadsheetml/2006/main" count="63" uniqueCount="63">
  <si>
    <t>NOME</t>
  </si>
  <si>
    <t>CPF</t>
  </si>
  <si>
    <t>CONTRATO</t>
  </si>
  <si>
    <t>PAGO</t>
  </si>
  <si>
    <t>SALDO</t>
  </si>
  <si>
    <t>STATUS</t>
  </si>
  <si>
    <t>BANCO</t>
  </si>
  <si>
    <t>AG</t>
  </si>
  <si>
    <t>CONTA</t>
  </si>
  <si>
    <t>OP</t>
  </si>
  <si>
    <t>TIPO</t>
  </si>
  <si>
    <t>PIX</t>
  </si>
  <si>
    <t>ELIANE MARIA DA SILVA</t>
  </si>
  <si>
    <t>046.931.264-54</t>
  </si>
  <si>
    <t>CAIXA ECONOMICA FEDERAL</t>
  </si>
  <si>
    <t>786779864-2</t>
  </si>
  <si>
    <t>POUPANÇA</t>
  </si>
  <si>
    <t>ELINALDO MARQUES DA SILVA</t>
  </si>
  <si>
    <t>064.142.434-50</t>
  </si>
  <si>
    <t>NUBANK</t>
  </si>
  <si>
    <t>11297311-9</t>
  </si>
  <si>
    <t>-</t>
  </si>
  <si>
    <t>CORRENTE</t>
  </si>
  <si>
    <t>ELISANGELA MARIA VASCONCELOS DE ARAÚJO</t>
  </si>
  <si>
    <t>341.267.018-93</t>
  </si>
  <si>
    <t>796940938-6</t>
  </si>
  <si>
    <t>(82)99929-1488</t>
  </si>
  <si>
    <t>ITEM</t>
  </si>
  <si>
    <t>VALOR</t>
  </si>
  <si>
    <t>%</t>
  </si>
  <si>
    <t>TOTAL</t>
  </si>
  <si>
    <t>REALIZADO</t>
  </si>
  <si>
    <t>COMPROMETIDO</t>
  </si>
  <si>
    <t>PARCELA</t>
  </si>
  <si>
    <t>DATA</t>
  </si>
  <si>
    <t>FORMA PGTO</t>
  </si>
  <si>
    <t>CHAVE</t>
  </si>
  <si>
    <t>DIA</t>
  </si>
  <si>
    <t>MÊS</t>
  </si>
  <si>
    <t>ANO</t>
  </si>
  <si>
    <t>CIDADE / UF</t>
  </si>
  <si>
    <t>N</t>
  </si>
  <si>
    <t>Caixa Econômica Federal</t>
  </si>
  <si>
    <t>Maceió - AL</t>
  </si>
  <si>
    <t>janeiro</t>
  </si>
  <si>
    <t>Nu Pagamentos S.A.</t>
  </si>
  <si>
    <t>Barra de São Miguel - AL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</si>
  <si>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</si>
  <si>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</si>
  <si>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</si>
  <si>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</si>
  <si>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</si>
  <si>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</si>
  <si>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</si>
  <si>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</si>
  <si>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</si>
  <si>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</si>
  <si>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</si>
  <si>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DATA PAGAMENTO</t>
  </si>
  <si>
    <t>DATA PREVISTA</t>
  </si>
  <si>
    <t>CHAVE PIX</t>
  </si>
  <si>
    <t>SALDO DEVEDOR</t>
  </si>
  <si>
    <t>PREVISTO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</si>
</sst>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00\.000\.000\-00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/>
    <xf numFmtId="44" fontId="0" fillId="0" borderId="0" xfId="1" applyFont="1"/>
    <xf numFmtId="0" fontId="2" fillId="2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4" fontId="3" fillId="0" borderId="0" xfId="1" applyFont="1" applyAlignment="1">
      <alignment vertical="center"/>
    </xf>
    <xf numFmtId="0" fontId="3" fillId="0" borderId="0" xfId="0" applyFont="1" applyAlignment="1">
      <alignment vertical="center"/>
    </xf>
    <xf numFmtId="1" fontId="3" fillId="0" borderId="0" xfId="0" applyNumberFormat="1" applyFont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0" fontId="5" fillId="0" borderId="0" xfId="0" applyFont="1"/>
    <xf numFmtId="44" fontId="5" fillId="0" borderId="0" xfId="1" applyFont="1"/>
    <xf numFmtId="10" fontId="5" fillId="0" borderId="0" xfId="2" applyNumberFormat="1" applyFont="1"/>
    <xf numFmtId="44" fontId="3" fillId="0" borderId="0" xfId="1" applyFont="1" applyFill="1" applyAlignment="1">
      <alignment horizontal="center" vertical="center"/>
    </xf>
    <xf numFmtId="44" fontId="3" fillId="0" borderId="0" xfId="1" applyFont="1" applyFill="1" applyAlignment="1">
      <alignment vertical="center"/>
    </xf>
    <xf numFmtId="44" fontId="0" fillId="0" borderId="0" xfId="0" applyNumberFormat="1"/>
    <xf numFmtId="0" fontId="3" fillId="0" borderId="0" xfId="0" applyNumberFormat="1" applyFont="1" applyAlignment="1">
      <alignment horizontal="center" vertical="center"/>
    </xf>
    <xf numFmtId="44" fontId="3" fillId="0" borderId="0" xfId="1" applyNumberFormat="1" applyFont="1" applyAlignment="1">
      <alignment vertical="center"/>
    </xf>
    <xf numFmtId="0" fontId="3" fillId="0" borderId="0" xfId="0" applyNumberFormat="1" applyFont="1" applyAlignment="1">
      <alignment horizontal="left" vertical="center"/>
    </xf>
    <xf numFmtId="0" fontId="3" fillId="0" borderId="0" xfId="0" applyNumberFormat="1" applyFont="1" applyAlignment="1">
      <alignment vertical="center"/>
    </xf>
  </cellXfs>
  <cellStyles count="3">
    <cellStyle name="Moeda" xfId="1" builtinId="4"/>
    <cellStyle name="Normal" xfId="0" builtinId="0"/>
    <cellStyle name="Porcentagem" xfId="2" builtinId="5"/>
  </cellStyles>
  <dxfs count="27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4" formatCode="_-&quot;R$&quot;\ * #,##0.00_-;\-&quot;R$&quot;\ * #,##0.00_-;_-&quot;R$&quot;\ * &quot;-&quot;??_-;_-@_-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4" formatCode="000\.000\.000\-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0" formatCode="@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i val="0"/>
        <color rgb="FFFFFF00"/>
      </font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0" formatCode="@"/>
    </dxf>
    <dxf>
      <numFmt numFmtId="0" formatCode="General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'Controle Geral'!$B$7</c:f>
              <c:strCache>
                <c:ptCount val="1"/>
                <c:pt idx="0">
                  <c:v>VALOR</c:v>
                </c:pt>
              </c:strCache>
            </c:strRef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rgbClr val="00B050"/>
              </a:solidFill>
              <a:ln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F12-484E-845F-0DA000CE38E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F12-484E-845F-0DA000CE38E9}"/>
              </c:ext>
            </c:extLst>
          </c:dPt>
          <c:dLbls>
            <c:dLbl>
              <c:idx val="0"/>
              <c:layout>
                <c:manualLayout>
                  <c:x val="1.7497947454843926E-2"/>
                  <c:y val="2.35647713032581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F12-484E-845F-0DA000CE38E9}"/>
                </c:ext>
              </c:extLst>
            </c:dLbl>
            <c:dLbl>
              <c:idx val="1"/>
              <c:layout>
                <c:manualLayout>
                  <c:x val="-4.6252822249589508E-2"/>
                  <c:y val="-2.1929824561403508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F12-484E-845F-0DA000CE38E9}"/>
                </c:ext>
              </c:extLst>
            </c:dLbl>
            <c:spPr>
              <a:noFill/>
              <a:ln w="19050" cap="flat" cmpd="sng" algn="ctr">
                <a:solidFill>
                  <a:sysClr val="windowText" lastClr="000000"/>
                </a:solidFill>
                <a:prstDash val="solid"/>
                <a:miter lim="800000"/>
              </a:ln>
              <a:effectLst>
                <a:softEdge rad="12700"/>
              </a:effectLst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'Controle Geral'!$A$9:$A$10</c:f>
              <c:strCache>
                <c:ptCount val="2"/>
                <c:pt idx="0">
                  <c:v>REALIZADO</c:v>
                </c:pt>
                <c:pt idx="1">
                  <c:v>COMPROMETIDO</c:v>
                </c:pt>
              </c:strCache>
            </c:strRef>
          </c:cat>
          <c:val>
            <c:numRef>
              <c:f>'Controle Geral'!$B$9:$B$10</c:f>
              <c:numCache>
                <c:formatCode>_("R$"* #,##0.00_);_("R$"* \(#,##0.00\);_("R$"* "-"??_);_(@_)</c:formatCode>
                <c:ptCount val="2"/>
                <c:pt idx="0">
                  <c:v>76500</c:v>
                </c:pt>
                <c:pt idx="1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84E-845F-0DA000CE38E9}"/>
            </c:ext>
          </c:extLst>
        </c:ser>
        <c:ser>
          <c:idx val="1"/>
          <c:order val="1"/>
          <c:tx>
            <c:strRef>
              <c:f>'Controle Geral'!$C$7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2E-47BF-8122-5D974E4745C1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2E-47BF-8122-5D974E4745C1}"/>
              </c:ext>
            </c:extLst>
          </c:dPt>
          <c:cat>
            <c:strRef>
              <c:f>'Controle Geral'!$A$9:$A$10</c:f>
              <c:strCache>
                <c:ptCount val="2"/>
                <c:pt idx="0">
                  <c:v>REALIZADO</c:v>
                </c:pt>
                <c:pt idx="1">
                  <c:v>COMPROMETIDO</c:v>
                </c:pt>
              </c:strCache>
            </c:strRef>
          </c:cat>
          <c:val>
            <c:numRef>
              <c:f>'Controle Geral'!$C$9:$C$10</c:f>
              <c:numCache>
                <c:formatCode>0.00%</c:formatCode>
                <c:ptCount val="2"/>
                <c:pt idx="0">
                  <c:v>0.85</c:v>
                </c:pt>
                <c:pt idx="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12-484E-845F-0DA000CE3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371474</xdr:colOff>
      <xdr:row>4</xdr:row>
      <xdr:rowOff>190499</xdr:rowOff>
    </xdr:from>
    <xdr:to>
      <xdr:col>9</xdr:col>
      <xdr:colOff>514349</xdr:colOff>
      <xdr:row>24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674D98-1D24-7417-8797-DB6833504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9AF89F-7852-46FB-A16A-222C07D32A7A}" name="GERAL" displayName="GERAL" ref="A1:L4" totalsRowShown="0" headerRowDxfId="26">
  <autoFilter ref="A1:L4" xr:uid="{5A9AF89F-7852-46FB-A16A-222C07D32A7A}"/>
  <sortState xmlns:xlrd2="http://schemas.microsoft.com/office/spreadsheetml/2017/richdata2" ref="A2:K4">
    <sortCondition ref="A1:A4"/>
  </sortState>
  <tableColumns count="12">
    <tableColumn id="1" xr3:uid="{69C2B4A0-76C0-47DE-8461-CB932F9036A0}" name="NOME" dataDxfId="25"/>
    <tableColumn id="2" xr3:uid="{B09CE3D5-65F3-493A-97A1-D3A86BB195FC}" name="CPF" dataDxfId="24"/>
    <tableColumn id="3" xr3:uid="{4B768F7A-559C-4E24-8976-8BF291C43894}" name="CONTRATO" dataCellStyle="Moeda"/>
    <tableColumn id="4" xr3:uid="{DC8985DD-D085-4AF9-8EA2-BBCAEF15AB75}" name="PAGO" dataDxfId="23" dataCellStyle="Moeda">
      <calculatedColumnFormula>IFERROR(SUMIFS(PARCELAS[VALOR],PARCELAS[DATA],"&gt;0",PARCELAS[NOME],GERAL[[#This Row],[NOME]]),0)</calculatedColumnFormula>
    </tableColumn>
    <tableColumn id="5" xr3:uid="{77258575-A719-4463-B20D-2C9597071EBD}" name="SALDO" dataCellStyle="Moeda">
      <calculatedColumnFormula>GERAL[[#This Row],[CONTRATO]]-GERAL[[#This Row],[PAGO]]</calculatedColumnFormula>
    </tableColumn>
    <tableColumn id="6" xr3:uid="{ADF93E76-F1F4-4A44-8018-304BEBE63F2C}" name="STATUS" dataDxfId="22">
      <calculatedColumnFormula>IF(GERAL[[#This Row],[SALDO]]=0, "QUITADO","EM ABERTO")</calculatedColumnFormula>
    </tableColumn>
    <tableColumn id="7" xr3:uid="{77D57B57-FF68-4D06-948C-0842BAB56866}" name="BANCO" dataDxfId="21"/>
    <tableColumn id="8" xr3:uid="{53A85196-6E75-42CD-AF56-C7B62F9B93A2}" name="AG" dataDxfId="20"/>
    <tableColumn id="9" xr3:uid="{9497C838-668C-4260-95A6-133B2BCBFA1A}" name="CONTA" dataDxfId="19"/>
    <tableColumn id="12" xr3:uid="{B312F718-7D30-4252-B34B-D4FABB76D555}" name="OP" dataDxfId="18"/>
    <tableColumn id="10" xr3:uid="{D47EBE4E-094E-4B11-8887-71E75767B73A}" name="TIPO" dataDxfId="17"/>
    <tableColumn id="11" xr3:uid="{982BDEB1-C220-4815-BAC1-4E7D3CBF0CF3}" name="PIX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F19C76-0026-44ED-9C93-7505B00AC60E}" name="Tabela4" displayName="Tabela4" ref="A7:C10" totalsRowShown="0">
  <autoFilter ref="A7:C10" xr:uid="{DDF19C76-0026-44ED-9C93-7505B00AC60E}"/>
  <tableColumns count="3">
    <tableColumn id="1" xr3:uid="{835426BF-A796-4DC8-959F-69ABD2234E99}" name="ITEM"/>
    <tableColumn id="2" xr3:uid="{5A19B845-5313-4AD2-8746-83B74629EF51}" name="VALOR" dataCellStyle="Moeda"/>
    <tableColumn id="3" xr3:uid="{03251972-713C-449B-A33A-49CC74755C11}" name="%" dataDxfId="15" dataCellStyle="Porcenta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ns1="http://schemas.openxmlformats.org/markup-compatibility/2006" xmlns:ns2="http://schemas.microsoft.com/office/spreadsheetml/2014/revision" ns1:Ignorable="xr xr3" id="2" ns2:uid="{1C8EC43D-C8D9-42B1-A28C-3EE981487FA4}" name="PARCELAS" displayName="PARCELAS" ref="A1:O55" totalsRowShown="0" headerRowDxfId="13" dataDxfId="12">
  <autoFilter ref="A1:O55" ns2:uid="{1C8EC43D-C8D9-42B1-A28C-3EE981487FA4}"/>
  <tableColumns count="15">
    <tableColumn id="1" name="NOME"/>
    <tableColumn id="2" name="CPF"/>
    <tableColumn id="3" name="PARCELA"/>
    <tableColumn id="4" name="STATUS"/>
    <tableColumn id="5" name="VALOR"/>
    <tableColumn id="6" name="DATA PAGAMENTO"/>
    <tableColumn id="7" name="DATA PREVISTA"/>
    <tableColumn id="8" name="FORMA PGTO"/>
    <tableColumn id="9" name="CHAVE PIX"/>
    <tableColumn id="10" name="BANCO"/>
    <tableColumn id="11" name="SALDO DEVEDOR"/>
    <tableColumn id="12" name="DIA"/>
    <tableColumn id="13" name="MÊS"/>
    <tableColumn id="14" name="ANO"/>
    <tableColumn id="15" name="CIDADE / UF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3" ns1:Ignorable="xr xr3" id="3" ns2:uid="{44F36978-3262-4F4F-A263-04756980D0A0}" name="MESES" displayName="MESES" ref="Q1:R13" totalsRowShown="0">
  <autoFilter ref="Q1:R13" ns2:uid="{44F36978-3262-4F4F-A263-04756980D0A0}"/>
  <tableColumns count="2">
    <tableColumn id="2" ns3:uid="{8EBB8105-4E54-4238-9DD5-C80AB7E5AB75}" name="N"/>
    <tableColumn id="1" ns3:uid="{852D511A-CA6B-447E-A4DD-D7CBEC2FD918}" name="MÊ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77BE9432-7227-4890-B01A-24440B8FF19F}">
  <dimension ref="A1:L20"/>
  <sheetViews>
    <sheetView tabSelected="1" workbookViewId="0">
      <selection activeCell="E3" sqref="E3"/>
    </sheetView>
  </sheetViews>
  <sheetFormatPr defaultRowHeight="15"/>
  <cols>
    <col min="1" max="1" width="41.42578125" bestFit="1" customWidth="1"/>
    <col min="2" max="2" width="14" bestFit="1" customWidth="1"/>
    <col min="3" max="3" width="15.7109375" bestFit="1" customWidth="1"/>
    <col min="4" max="4" width="14.5703125" bestFit="1" customWidth="1"/>
    <col min="5" max="5" width="14.85546875" bestFit="1" customWidth="1"/>
    <col min="6" max="6" width="12.28515625" bestFit="1" customWidth="1"/>
    <col min="7" max="7" width="25.85546875" bestFit="1" customWidth="1"/>
    <col min="8" max="8" width="8.140625" bestFit="1" customWidth="1"/>
    <col min="9" max="9" width="12" bestFit="1" customWidth="1"/>
    <col min="10" max="10" width="12" customWidth="1"/>
    <col min="11" max="11" width="10.85546875" bestFit="1" customWidth="1"/>
    <col min="12" max="12" width="14.285156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s="2" t="s">
        <v>13</v>
      </c>
      <c r="C2" s="3">
        <v>30000</v>
      </c>
      <c r="D2" s="3">
        <f>IFERROR(SUMIFS(PARCELAS[VALOR],PARCELAS[NOME],GERAL[[#This Row],[NOME]],PARCELAS[STATUS],"PAGO"),0)</f>
        <v>25500</v>
      </c>
      <c r="E2" s="3">
        <f>GERAL[[#This Row],[CONTRATO]]-GERAL[[#This Row],[PAGO]]</f>
        <v>4500</v>
      </c>
      <c r="F2" t="str">
        <f>IF(GERAL[[#This Row],[SALDO]]=0, "QUITADO","EM ABERTO")</f>
        <v>EM ABERTO</v>
      </c>
      <c r="G2" t="s">
        <v>14</v>
      </c>
      <c r="H2">
        <v>3693</v>
      </c>
      <c r="I2" t="s">
        <v>15</v>
      </c>
      <c r="J2" s="1">
        <v>1288</v>
      </c>
      <c r="K2" t="s">
        <v>16</v>
      </c>
      <c r="L2" s="2" t="s">
        <v>13</v>
      </c>
    </row>
    <row r="3" spans="1:12">
      <c r="A3" t="s">
        <v>17</v>
      </c>
      <c r="B3" s="2" t="s">
        <v>18</v>
      </c>
      <c r="C3" s="3">
        <v>30000</v>
      </c>
      <c r="D3" s="3">
        <f>IFERROR(SUMIFS(PARCELAS[VALOR],PARCELAS[NOME],GERAL[[#This Row],[NOME]],PARCELAS[STATUS],"PAGO"),0)</f>
        <v>25500</v>
      </c>
      <c r="E3" s="3">
        <f>GERAL[[#This Row],[CONTRATO]]-GERAL[[#This Row],[PAGO]]</f>
        <v>4500</v>
      </c>
      <c r="F3" t="str">
        <f>IF(GERAL[[#This Row],[SALDO]]=0, "QUITADO","EM ABERTO")</f>
        <v>EM ABERTO</v>
      </c>
      <c r="G3" t="s">
        <v>19</v>
      </c>
      <c r="H3">
        <v>1</v>
      </c>
      <c r="I3" t="s">
        <v>20</v>
      </c>
      <c r="J3" s="1" t="s">
        <v>21</v>
      </c>
      <c r="K3" t="s">
        <v>22</v>
      </c>
      <c r="L3" s="2" t="s">
        <v>18</v>
      </c>
    </row>
    <row r="4" spans="1:12">
      <c r="A4" t="s">
        <v>23</v>
      </c>
      <c r="B4" s="2" t="s">
        <v>24</v>
      </c>
      <c r="C4" s="3">
        <v>30000</v>
      </c>
      <c r="D4" s="3">
        <f>IFERROR(SUMIFS(PARCELAS[VALOR],PARCELAS[NOME],GERAL[[#This Row],[NOME]],PARCELAS[STATUS],"PAGO"),0)</f>
        <v>25500</v>
      </c>
      <c r="E4" s="3">
        <f>GERAL[[#This Row],[CONTRATO]]-GERAL[[#This Row],[PAGO]]</f>
        <v>4500</v>
      </c>
      <c r="F4" t="str">
        <f>IF(GERAL[[#This Row],[SALDO]]=0, "QUITADO","EM ABERTO")</f>
        <v>EM ABERTO</v>
      </c>
      <c r="G4" t="s">
        <v>14</v>
      </c>
      <c r="H4">
        <v>2047</v>
      </c>
      <c r="I4" t="s">
        <v>25</v>
      </c>
      <c r="J4" s="1">
        <v>1288</v>
      </c>
      <c r="K4" t="s">
        <v>16</v>
      </c>
      <c r="L4" t="s">
        <v>26</v>
      </c>
    </row>
    <row r="7" spans="1:12">
      <c r="A7" t="s">
        <v>27</v>
      </c>
      <c r="B7" t="s">
        <v>28</v>
      </c>
      <c r="C7" t="s">
        <v>29</v>
      </c>
    </row>
    <row r="8" spans="1:12">
      <c r="A8" s="19" t="s">
        <v>30</v>
      </c>
      <c r="B8" s="20">
        <f>SUM(GERAL[CONTRATO])</f>
        <v>90000</v>
      </c>
      <c r="C8" s="21">
        <f>B8/B8</f>
        <v>1</v>
      </c>
      <c r="D8" s="17"/>
    </row>
    <row r="9" spans="1:12">
      <c r="A9" t="s">
        <v>31</v>
      </c>
      <c r="B9" s="3">
        <f>SUM(GERAL[PAGO])</f>
        <v>76500</v>
      </c>
      <c r="C9" s="18">
        <f>B9/B8</f>
        <v>0.85</v>
      </c>
    </row>
    <row r="10" spans="1:12">
      <c r="A10" t="s">
        <v>32</v>
      </c>
      <c r="B10" s="3">
        <f>B8-B9</f>
        <v>13500</v>
      </c>
      <c r="C10" s="18">
        <f>B10/B8</f>
        <v>0.15</v>
      </c>
    </row>
    <row r="20" spans="2:2">
      <c r="B20" s="2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834604A6-D1CF-4996-9D02-2AA11998FFE1}">
  <dimension ref="A1:R55"/>
  <sheetViews>
    <sheetView topLeftCell="D23" workbookViewId="0">
      <selection activeCell="I38" sqref="I38"/>
    </sheetView>
  </sheetViews>
  <sheetFormatPr defaultRowHeight="15"/>
  <cols>
    <col min="1" max="1" width="46" bestFit="1" customWidth="1"/>
    <col min="2" max="2" width="15.5703125" bestFit="1" customWidth="1"/>
    <col min="3" max="3" width="15.5703125" customWidth="1"/>
    <col min="4" max="4" width="15.7109375" bestFit="1" customWidth="1"/>
    <col min="5" max="5" width="11.85546875" bestFit="1" customWidth="1"/>
    <col min="6" max="6" width="18.42578125" bestFit="1" customWidth="1"/>
    <col min="7" max="7" width="15.85546875" bestFit="1" customWidth="1"/>
    <col min="8" max="8" width="28.7109375" bestFit="1" customWidth="1"/>
    <col min="9" max="9" width="15.7109375" bestFit="1" customWidth="1"/>
    <col min="11" max="11" width="10.28515625" bestFit="1" customWidth="1"/>
    <col min="12" max="12" width="9.85546875" bestFit="1" customWidth="1"/>
    <col min="13" max="13" width="23.42578125" bestFit="1" customWidth="1"/>
    <col min="14" max="14" width="9.28515625" customWidth="1"/>
  </cols>
  <sheetData>
    <row r="1" spans="1:18">
      <c r="A1" t="s" s="1">
        <v>0</v>
      </c>
      <c r="B1" t="s" s="1">
        <v>1</v>
      </c>
      <c r="C1" t="s" s="1">
        <v>33</v>
      </c>
      <c r="D1" t="s" s="1">
        <v>5</v>
      </c>
      <c r="E1" t="s" s="1">
        <v>28</v>
      </c>
      <c r="F1" t="s" s="1">
        <v>58</v>
      </c>
      <c r="G1" t="s" s="1">
        <v>59</v>
      </c>
      <c r="H1" t="s" s="1">
        <v>35</v>
      </c>
      <c r="I1" t="s" s="1">
        <v>60</v>
      </c>
      <c r="J1" t="s" s="1">
        <v>6</v>
      </c>
      <c r="K1" t="s" s="1">
        <v>61</v>
      </c>
      <c r="L1" t="s" s="1">
        <v>37</v>
      </c>
      <c r="M1" t="s" s="1">
        <v>38</v>
      </c>
      <c r="N1" t="s" s="1">
        <v>39</v>
      </c>
      <c r="O1" t="s" s="1">
        <v>40</v>
      </c>
      <c r="Q1" t="s" s="1">
        <v>41</v>
      </c>
      <c r="R1" t="s" s="1">
        <v>38</v>
      </c>
    </row>
    <row r="2" spans="1:18">
      <c r="A2" t="s" s="8">
        <v>12</v>
      </c>
      <c r="B2" t="str" s="5">
        <f>IFERROR(INDEX(GERAL[CPF],MATCH(PARCELAS[[#This Row],[NOME]],GERAL[NOME],0)),"-")</f>
        <v>046.931.264-54</v>
      </c>
      <c r="C2" s="16">
        <f>COUNTIF(PARCELAS[[#Headers],[NOME]]:PARCELAS[[#This Row],[NOME]],PARCELAS[[#This Row],[NOME]])</f>
        <v>1</v>
      </c>
      <c r="D2" t="s" s="8">
        <v>3</v>
      </c>
      <c r="E2" s="10">
        <v>10000</v>
      </c>
      <c r="F2" s="9">
        <v>46303</v>
      </c>
      <c r="G2" s="9">
        <v>45894</v>
      </c>
      <c r="H2" t="s" s="11">
        <v>11</v>
      </c>
      <c r="I2" t="str" s="12">
        <f>IFERROR(INDEX(GERAL[PIX],MATCH(PARCELAS[[#This Row],[NOME]],GERAL[NOME],0)),"-")</f>
        <v>046.931.264-54</v>
      </c>
      <c r="J2" t="s">
        <f>IFERROR(INDEX(GERAL[BANCO],MATCH(PARCELAS[[#This Row],[NOME]],GERAL[NOME],0)),"-")</f>
        <v>42</v>
      </c>
      <c r="K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20000</v>
      </c>
      <c r="L2" t="str" s="12">
        <f>IF(OR(ISBLANK(PARCELAS[[#This Row],[DATA PAGAMENTO]]),DAY(PARCELAS[[#This Row],[DATA PAGAMENTO]])=0),"",TEXT(DAY(PARCELAS[[#This Row],[DATA PAGAMENTO]]),"00"))</f>
        <v>08</v>
      </c>
      <c r="M2" t="str" s="13">
        <f>IF(ISBLANK(PARCELAS[[#This Row],[DATA PAGAMENTO]]),"",INDEX(MESES[MÊS],MATCH(MONTH(PARCELAS[[#This Row],[DATA PAGAMENTO]]),MESES[N],0)))</f>
        <v>outubro</v>
      </c>
      <c r="N2" s="12">
        <f>IF(OR(ISBLANK(PARCELAS[[#This Row],[DATA PAGAMENTO]]),YEAR(PARCELAS[[#This Row],[DATA PAGAMENTO]])=1900),"",YEAR(PARCELAS[[#This Row],[DATA PAGAMENTO]]))</f>
        <v>2026</v>
      </c>
      <c r="O2" t="s">
        <v>43</v>
      </c>
      <c r="Q2">
        <v>1</v>
      </c>
      <c r="R2" t="s">
        <v>44</v>
      </c>
    </row>
    <row r="3" spans="1:18">
      <c r="A3" t="s" s="8">
        <v>17</v>
      </c>
      <c r="B3" t="str" s="5">
        <f>IFERROR(INDEX(GERAL[CPF],MATCH(PARCELAS[[#This Row],[NOME]],GERAL[NOME],0)),"-")</f>
        <v>064.142.434-50</v>
      </c>
      <c r="C3" s="16">
        <f>COUNTIF(PARCELAS[[#Headers],[NOME]]:PARCELAS[[#This Row],[NOME]],PARCELAS[[#This Row],[NOME]])</f>
        <v>1</v>
      </c>
      <c r="D3" t="s" s="8">
        <v>3</v>
      </c>
      <c r="E3" s="10">
        <v>10000</v>
      </c>
      <c r="F3" s="9">
        <v>45894</v>
      </c>
      <c r="G3" s="9">
        <v>45894</v>
      </c>
      <c r="H3" t="s" s="11">
        <v>11</v>
      </c>
      <c r="I3" t="str" s="12">
        <f>IFERROR(INDEX(GERAL[PIX],MATCH(PARCELAS[[#This Row],[NOME]],GERAL[NOME],0)),"-")</f>
        <v>064.142.434-50</v>
      </c>
      <c r="J3" t="s">
        <f>IFERROR(INDEX(GERAL[BANCO],MATCH(PARCELAS[[#This Row],[NOME]],GERAL[NOME],0)),"-")</f>
        <v>45</v>
      </c>
      <c r="K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20000</v>
      </c>
      <c r="L3" t="str" s="12">
        <f>IF(OR(ISBLANK(PARCELAS[[#This Row],[DATA PAGAMENTO]]),DAY(PARCELAS[[#This Row],[DATA PAGAMENTO]])=0),"",TEXT(DAY(PARCELAS[[#This Row],[DATA PAGAMENTO]]),"00"))</f>
        <v>25</v>
      </c>
      <c r="M3" t="str" s="13">
        <f>IF(ISBLANK(PARCELAS[[#This Row],[DATA PAGAMENTO]]),"",INDEX(MESES[MÊS],MATCH(MONTH(PARCELAS[[#This Row],[DATA PAGAMENTO]]),MESES[N],0)))</f>
        <v>agosto</v>
      </c>
      <c r="N3" s="12">
        <f>IF(OR(ISBLANK(PARCELAS[[#This Row],[DATA PAGAMENTO]]),YEAR(PARCELAS[[#This Row],[DATA PAGAMENTO]])=1900),"",YEAR(PARCELAS[[#This Row],[DATA PAGAMENTO]]))</f>
        <v>2025</v>
      </c>
      <c r="O3" t="s" s="15">
        <v>46</v>
      </c>
      <c r="Q3">
        <v>2</v>
      </c>
      <c r="R3" t="s">
        <v>47</v>
      </c>
    </row>
    <row r="4" spans="1:18">
      <c r="A4" t="s" s="8">
        <v>23</v>
      </c>
      <c r="B4" t="str" s="5">
        <f>IFERROR(INDEX(GERAL[CPF],MATCH(PARCELAS[[#This Row],[NOME]],GERAL[NOME],0)),"-")</f>
        <v>341.267.018-93</v>
      </c>
      <c r="C4" s="16">
        <f>COUNTIF(PARCELAS[[#Headers],[NOME]]:PARCELAS[[#This Row],[NOME]],PARCELAS[[#This Row],[NOME]])</f>
        <v>1</v>
      </c>
      <c r="D4" t="s" s="8">
        <v>3</v>
      </c>
      <c r="E4" s="10">
        <v>10000</v>
      </c>
      <c r="F4" s="9">
        <v>45894</v>
      </c>
      <c r="G4" s="9">
        <v>45894</v>
      </c>
      <c r="H4" t="s" s="11">
        <v>11</v>
      </c>
      <c r="I4" t="str" s="12">
        <f>IFERROR(INDEX(GERAL[PIX],MATCH(PARCELAS[[#This Row],[NOME]],GERAL[NOME],0)),"-")</f>
        <v>(82)99929-1488</v>
      </c>
      <c r="J4" t="s">
        <f>IFERROR(INDEX(GERAL[BANCO],MATCH(PARCELAS[[#This Row],[NOME]],GERAL[NOME],0)),"-")</f>
        <v>42</v>
      </c>
      <c r="K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20000</v>
      </c>
      <c r="L4" t="str" s="12">
        <f>IF(OR(ISBLANK(PARCELAS[[#This Row],[DATA PAGAMENTO]]),DAY(PARCELAS[[#This Row],[DATA PAGAMENTO]])=0),"",TEXT(DAY(PARCELAS[[#This Row],[DATA PAGAMENTO]]),"00"))</f>
        <v>25</v>
      </c>
      <c r="M4" t="str" s="13">
        <f>IF(ISBLANK(PARCELAS[[#This Row],[DATA PAGAMENTO]]),"",INDEX(MESES[MÊS],MATCH(MONTH(PARCELAS[[#This Row],[DATA PAGAMENTO]]),MESES[N],0)))</f>
        <v>agosto</v>
      </c>
      <c r="N4" s="12">
        <f>IF(OR(ISBLANK(PARCELAS[[#This Row],[DATA PAGAMENTO]]),YEAR(PARCELAS[[#This Row],[DATA PAGAMENTO]])=1900),"",YEAR(PARCELAS[[#This Row],[DATA PAGAMENTO]]))</f>
        <v>2025</v>
      </c>
      <c r="O4" t="s" s="15">
        <v>46</v>
      </c>
      <c r="Q4">
        <v>3</v>
      </c>
      <c r="R4" t="s">
        <v>48</v>
      </c>
    </row>
    <row r="5" spans="1:18">
      <c r="A5" t="s" s="8">
        <v>12</v>
      </c>
      <c r="B5" t="str" s="5">
        <f>IFERROR(INDEX(GERAL[CPF],MATCH(PARCELAS[[#This Row],[NOME]],GERAL[NOME],0)),"-")</f>
        <v>046.931.264-54</v>
      </c>
      <c r="C5" s="16">
        <f>COUNTIF(PARCELAS[[#Headers],[NOME]]:PARCELAS[[#This Row],[NOME]],PARCELAS[[#This Row],[NOME]])</f>
        <v>2</v>
      </c>
      <c r="D5" t="s" s="8">
        <v>3</v>
      </c>
      <c r="E5" s="10">
        <v>500</v>
      </c>
      <c r="F5" s="9">
        <v>45937</v>
      </c>
      <c r="G5" s="9">
        <v>45937</v>
      </c>
      <c r="H5" t="s" s="11">
        <v>11</v>
      </c>
      <c r="I5" t="str" s="12">
        <f>IFERROR(INDEX(GERAL[PIX],MATCH(PARCELAS[[#This Row],[NOME]],GERAL[NOME],0)),"-")</f>
        <v>046.931.264-54</v>
      </c>
      <c r="J5" t="s">
        <f>IFERROR(INDEX(GERAL[BANCO],MATCH(PARCELAS[[#This Row],[NOME]],GERAL[NOME],0)),"-")</f>
        <v>42</v>
      </c>
      <c r="K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19500</v>
      </c>
      <c r="L5" t="str" s="12">
        <f>IF(OR(ISBLANK(PARCELAS[[#This Row],[DATA PAGAMENTO]]),DAY(PARCELAS[[#This Row],[DATA PAGAMENTO]])=0),"",TEXT(DAY(PARCELAS[[#This Row],[DATA PAGAMENTO]]),"00"))</f>
        <v>07</v>
      </c>
      <c r="M5" t="str" s="13">
        <f>IF(ISBLANK(PARCELAS[[#This Row],[DATA PAGAMENTO]]),"",INDEX(MESES[MÊS],MATCH(MONTH(PARCELAS[[#This Row],[DATA PAGAMENTO]]),MESES[N],0)))</f>
        <v>outubro</v>
      </c>
      <c r="N5" s="12">
        <f>IF(OR(ISBLANK(PARCELAS[[#This Row],[DATA PAGAMENTO]]),YEAR(PARCELAS[[#This Row],[DATA PAGAMENTO]])=1900),"",YEAR(PARCELAS[[#This Row],[DATA PAGAMENTO]]))</f>
        <v>2025</v>
      </c>
      <c r="O5" t="s">
        <v>43</v>
      </c>
      <c r="Q5">
        <v>4</v>
      </c>
      <c r="R5" t="s">
        <v>49</v>
      </c>
    </row>
    <row r="6" spans="1:18">
      <c r="A6" t="s" s="8">
        <v>17</v>
      </c>
      <c r="B6" t="str" s="5">
        <f>IFERROR(INDEX(GERAL[CPF],MATCH(PARCELAS[[#This Row],[NOME]],GERAL[NOME],0)),"-")</f>
        <v>064.142.434-50</v>
      </c>
      <c r="C6" s="16">
        <f>COUNTIF(PARCELAS[[#Headers],[NOME]]:PARCELAS[[#This Row],[NOME]],PARCELAS[[#This Row],[NOME]])</f>
        <v>2</v>
      </c>
      <c r="D6" t="s" s="8">
        <v>3</v>
      </c>
      <c r="E6" s="10">
        <v>500</v>
      </c>
      <c r="F6" s="9">
        <v>45937</v>
      </c>
      <c r="G6" s="9">
        <v>45937</v>
      </c>
      <c r="H6" t="s" s="11">
        <v>11</v>
      </c>
      <c r="I6" t="str" s="12">
        <f>IFERROR(INDEX(GERAL[PIX],MATCH(PARCELAS[[#This Row],[NOME]],GERAL[NOME],0)),"-")</f>
        <v>064.142.434-50</v>
      </c>
      <c r="J6" t="s">
        <f>IFERROR(INDEX(GERAL[BANCO],MATCH(PARCELAS[[#This Row],[NOME]],GERAL[NOME],0)),"-")</f>
        <v>45</v>
      </c>
      <c r="K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19500</v>
      </c>
      <c r="L6" t="str" s="12">
        <f>IF(OR(ISBLANK(PARCELAS[[#This Row],[DATA PAGAMENTO]]),DAY(PARCELAS[[#This Row],[DATA PAGAMENTO]])=0),"",TEXT(DAY(PARCELAS[[#This Row],[DATA PAGAMENTO]]),"00"))</f>
        <v>07</v>
      </c>
      <c r="M6" t="str" s="13">
        <f>IF(ISBLANK(PARCELAS[[#This Row],[DATA PAGAMENTO]]),"",INDEX(MESES[MÊS],MATCH(MONTH(PARCELAS[[#This Row],[DATA PAGAMENTO]]),MESES[N],0)))</f>
        <v>outubro</v>
      </c>
      <c r="N6" s="12">
        <f>IF(OR(ISBLANK(PARCELAS[[#This Row],[DATA PAGAMENTO]]),YEAR(PARCELAS[[#This Row],[DATA PAGAMENTO]])=1900),"",YEAR(PARCELAS[[#This Row],[DATA PAGAMENTO]]))</f>
        <v>2025</v>
      </c>
      <c r="O6" t="s" s="15">
        <v>46</v>
      </c>
      <c r="Q6">
        <v>5</v>
      </c>
      <c r="R6" t="s">
        <v>50</v>
      </c>
    </row>
    <row r="7" spans="1:18">
      <c r="A7" t="s" s="8">
        <v>23</v>
      </c>
      <c r="B7" t="str" s="5">
        <f>IFERROR(INDEX(GERAL[CPF],MATCH(PARCELAS[[#This Row],[NOME]],GERAL[NOME],0)),"-")</f>
        <v>341.267.018-93</v>
      </c>
      <c r="C7" s="16">
        <f>COUNTIF(PARCELAS[[#Headers],[NOME]]:PARCELAS[[#This Row],[NOME]],PARCELAS[[#This Row],[NOME]])</f>
        <v>2</v>
      </c>
      <c r="D7" t="s" s="8">
        <v>3</v>
      </c>
      <c r="E7" s="10">
        <v>500</v>
      </c>
      <c r="F7" s="9">
        <v>45937</v>
      </c>
      <c r="G7" s="9">
        <v>45937</v>
      </c>
      <c r="H7" t="s" s="11">
        <v>11</v>
      </c>
      <c r="I7" t="str" s="12">
        <f>IFERROR(INDEX(GERAL[PIX],MATCH(PARCELAS[[#This Row],[NOME]],GERAL[NOME],0)),"-")</f>
        <v>(82)99929-1488</v>
      </c>
      <c r="J7" t="s">
        <f>IFERROR(INDEX(GERAL[BANCO],MATCH(PARCELAS[[#This Row],[NOME]],GERAL[NOME],0)),"-")</f>
        <v>42</v>
      </c>
      <c r="K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19500</v>
      </c>
      <c r="L7" t="str" s="12">
        <f>IF(OR(ISBLANK(PARCELAS[[#This Row],[DATA PAGAMENTO]]),DAY(PARCELAS[[#This Row],[DATA PAGAMENTO]])=0),"",TEXT(DAY(PARCELAS[[#This Row],[DATA PAGAMENTO]]),"00"))</f>
        <v>07</v>
      </c>
      <c r="M7" t="str" s="13">
        <f>IF(ISBLANK(PARCELAS[[#This Row],[DATA PAGAMENTO]]),"",INDEX(MESES[MÊS],MATCH(MONTH(PARCELAS[[#This Row],[DATA PAGAMENTO]]),MESES[N],0)))</f>
        <v>outubro</v>
      </c>
      <c r="N7" s="12">
        <f>IF(OR(ISBLANK(PARCELAS[[#This Row],[DATA PAGAMENTO]]),YEAR(PARCELAS[[#This Row],[DATA PAGAMENTO]])=1900),"",YEAR(PARCELAS[[#This Row],[DATA PAGAMENTO]]))</f>
        <v>2025</v>
      </c>
      <c r="O7" t="s" s="15">
        <v>46</v>
      </c>
      <c r="Q7">
        <v>6</v>
      </c>
      <c r="R7" t="s">
        <v>51</v>
      </c>
    </row>
    <row r="8" spans="1:18">
      <c r="A8" t="s" s="8">
        <v>12</v>
      </c>
      <c r="B8" t="str" s="5">
        <f>IFERROR(INDEX(GERAL[CPF],MATCH(PARCELAS[[#This Row],[NOME]],GERAL[NOME],0)),"-")</f>
        <v>046.931.264-54</v>
      </c>
      <c r="C8" s="16">
        <f>COUNTIF(PARCELAS[[#Headers],[NOME]]:PARCELAS[[#This Row],[NOME]],PARCELAS[[#This Row],[NOME]])</f>
        <v>3</v>
      </c>
      <c r="D8" t="s" s="8">
        <v>3</v>
      </c>
      <c r="E8" s="10">
        <v>5000</v>
      </c>
      <c r="F8" s="9">
        <v>45972</v>
      </c>
      <c r="G8" s="9">
        <v>45972</v>
      </c>
      <c r="H8" t="s" s="11">
        <v>11</v>
      </c>
      <c r="I8" t="str" s="12">
        <f>IFERROR(INDEX(GERAL[PIX],MATCH(PARCELAS[[#This Row],[NOME]],GERAL[NOME],0)),"-")</f>
        <v>046.931.264-54</v>
      </c>
      <c r="J8" t="s">
        <f>IFERROR(INDEX(GERAL[BANCO],MATCH(PARCELAS[[#This Row],[NOME]],GERAL[NOME],0)),"-")</f>
        <v>42</v>
      </c>
      <c r="K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14500</v>
      </c>
      <c r="L8" t="str" s="12">
        <f>IF(OR(ISBLANK(PARCELAS[[#This Row],[DATA PAGAMENTO]]),DAY(PARCELAS[[#This Row],[DATA PAGAMENTO]])=0),"",TEXT(DAY(PARCELAS[[#This Row],[DATA PAGAMENTO]]),"00"))</f>
        <v>11</v>
      </c>
      <c r="M8" t="str" s="13">
        <f>IF(ISBLANK(PARCELAS[[#This Row],[DATA PAGAMENTO]]),"",INDEX(MESES[MÊS],MATCH(MONTH(PARCELAS[[#This Row],[DATA PAGAMENTO]]),MESES[N],0)))</f>
        <v>novembro</v>
      </c>
      <c r="N8" s="12">
        <f>IF(OR(ISBLANK(PARCELAS[[#This Row],[DATA PAGAMENTO]]),YEAR(PARCELAS[[#This Row],[DATA PAGAMENTO]])=1900),"",YEAR(PARCELAS[[#This Row],[DATA PAGAMENTO]]))</f>
        <v>2025</v>
      </c>
      <c r="O8" t="s">
        <v>43</v>
      </c>
      <c r="Q8">
        <v>7</v>
      </c>
      <c r="R8" t="s">
        <v>52</v>
      </c>
    </row>
    <row r="9" spans="1:18">
      <c r="A9" t="s" s="8">
        <v>17</v>
      </c>
      <c r="B9" t="str" s="5">
        <f>IFERROR(INDEX(GERAL[CPF],MATCH(PARCELAS[[#This Row],[NOME]],GERAL[NOME],0)),"-")</f>
        <v>064.142.434-50</v>
      </c>
      <c r="C9" s="16">
        <f>COUNTIF(PARCELAS[[#Headers],[NOME]]:PARCELAS[[#This Row],[NOME]],PARCELAS[[#This Row],[NOME]])</f>
        <v>3</v>
      </c>
      <c r="D9" t="s" s="8">
        <v>3</v>
      </c>
      <c r="E9" s="10">
        <v>5000</v>
      </c>
      <c r="F9" s="9">
        <v>45972</v>
      </c>
      <c r="G9" s="9">
        <v>45972</v>
      </c>
      <c r="H9" t="s" s="11">
        <v>11</v>
      </c>
      <c r="I9" t="str" s="12">
        <f>IFERROR(INDEX(GERAL[PIX],MATCH(PARCELAS[[#This Row],[NOME]],GERAL[NOME],0)),"-")</f>
        <v>064.142.434-50</v>
      </c>
      <c r="J9" t="s">
        <f>IFERROR(INDEX(GERAL[BANCO],MATCH(PARCELAS[[#This Row],[NOME]],GERAL[NOME],0)),"-")</f>
        <v>45</v>
      </c>
      <c r="K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14500</v>
      </c>
      <c r="L9" t="str" s="12">
        <f>IF(OR(ISBLANK(PARCELAS[[#This Row],[DATA PAGAMENTO]]),DAY(PARCELAS[[#This Row],[DATA PAGAMENTO]])=0),"",TEXT(DAY(PARCELAS[[#This Row],[DATA PAGAMENTO]]),"00"))</f>
        <v>11</v>
      </c>
      <c r="M9" t="str" s="13">
        <f>IF(ISBLANK(PARCELAS[[#This Row],[DATA PAGAMENTO]]),"",INDEX(MESES[MÊS],MATCH(MONTH(PARCELAS[[#This Row],[DATA PAGAMENTO]]),MESES[N],0)))</f>
        <v>novembro</v>
      </c>
      <c r="N9" s="12">
        <f>IF(OR(ISBLANK(PARCELAS[[#This Row],[DATA PAGAMENTO]]),YEAR(PARCELAS[[#This Row],[DATA PAGAMENTO]])=1900),"",YEAR(PARCELAS[[#This Row],[DATA PAGAMENTO]]))</f>
        <v>2025</v>
      </c>
      <c r="O9" t="s" s="15">
        <v>46</v>
      </c>
      <c r="Q9">
        <v>8</v>
      </c>
      <c r="R9" t="s">
        <v>53</v>
      </c>
    </row>
    <row r="10" spans="1:18">
      <c r="A10" t="s" s="8">
        <v>23</v>
      </c>
      <c r="B10" t="str" s="5">
        <f>IFERROR(INDEX(GERAL[CPF],MATCH(PARCELAS[[#This Row],[NOME]],GERAL[NOME],0)),"-")</f>
        <v>341.267.018-93</v>
      </c>
      <c r="C10" s="16">
        <f>COUNTIF(PARCELAS[[#Headers],[NOME]]:PARCELAS[[#This Row],[NOME]],PARCELAS[[#This Row],[NOME]])</f>
        <v>3</v>
      </c>
      <c r="D10" t="s" s="8">
        <v>3</v>
      </c>
      <c r="E10" s="10">
        <v>5000</v>
      </c>
      <c r="F10" s="9">
        <v>45972</v>
      </c>
      <c r="G10" s="9">
        <v>45972</v>
      </c>
      <c r="H10" t="s" s="11">
        <v>11</v>
      </c>
      <c r="I10" t="str" s="12">
        <f>IFERROR(INDEX(GERAL[PIX],MATCH(PARCELAS[[#This Row],[NOME]],GERAL[NOME],0)),"-")</f>
        <v>(82)99929-1488</v>
      </c>
      <c r="J10" t="s">
        <f>IFERROR(INDEX(GERAL[BANCO],MATCH(PARCELAS[[#This Row],[NOME]],GERAL[NOME],0)),"-")</f>
        <v>42</v>
      </c>
      <c r="K1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14500</v>
      </c>
      <c r="L10" t="str" s="12">
        <f>IF(OR(ISBLANK(PARCELAS[[#This Row],[DATA PAGAMENTO]]),DAY(PARCELAS[[#This Row],[DATA PAGAMENTO]])=0),"",TEXT(DAY(PARCELAS[[#This Row],[DATA PAGAMENTO]]),"00"))</f>
        <v>11</v>
      </c>
      <c r="M10" t="str" s="13">
        <f>IF(ISBLANK(PARCELAS[[#This Row],[DATA PAGAMENTO]]),"",INDEX(MESES[MÊS],MATCH(MONTH(PARCELAS[[#This Row],[DATA PAGAMENTO]]),MESES[N],0)))</f>
        <v>novembro</v>
      </c>
      <c r="N10" s="12">
        <f>IF(OR(ISBLANK(PARCELAS[[#This Row],[DATA PAGAMENTO]]),YEAR(PARCELAS[[#This Row],[DATA PAGAMENTO]])=1900),"",YEAR(PARCELAS[[#This Row],[DATA PAGAMENTO]]))</f>
        <v>2025</v>
      </c>
      <c r="O10" t="s" s="15">
        <v>46</v>
      </c>
      <c r="Q10">
        <v>9</v>
      </c>
      <c r="R10" t="s">
        <v>54</v>
      </c>
    </row>
    <row r="11" spans="1:18">
      <c r="A11" t="s" s="8">
        <v>12</v>
      </c>
      <c r="B11" t="str" s="5">
        <f>IFERROR(INDEX(GERAL[CPF],MATCH(PARCELAS[[#This Row],[NOME]],GERAL[NOME],0)),"-")</f>
        <v>046.931.264-54</v>
      </c>
      <c r="C11" s="16">
        <f>COUNTIF(PARCELAS[[#Headers],[NOME]]:PARCELAS[[#This Row],[NOME]],PARCELAS[[#This Row],[NOME]])</f>
        <v>4</v>
      </c>
      <c r="D11" t="s" s="8">
        <v>3</v>
      </c>
      <c r="E11" s="10">
        <v>1000</v>
      </c>
      <c r="F11" s="9">
        <v>45999</v>
      </c>
      <c r="G11" s="9">
        <v>45999</v>
      </c>
      <c r="H11" t="s" s="11">
        <v>11</v>
      </c>
      <c r="I11" t="str" s="12">
        <f>IFERROR(INDEX(GERAL[PIX],MATCH(PARCELAS[[#This Row],[NOME]],GERAL[NOME],0)),"-")</f>
        <v>046.931.264-54</v>
      </c>
      <c r="J11" t="s">
        <f>IFERROR(INDEX(GERAL[BANCO],MATCH(PARCELAS[[#This Row],[NOME]],GERAL[NOME],0)),"-")</f>
        <v>42</v>
      </c>
      <c r="K1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13500</v>
      </c>
      <c r="L11" t="str" s="12">
        <f>IF(OR(ISBLANK(PARCELAS[[#This Row],[DATA PAGAMENTO]]),DAY(PARCELAS[[#This Row],[DATA PAGAMENTO]])=0),"",TEXT(DAY(PARCELAS[[#This Row],[DATA PAGAMENTO]]),"00"))</f>
        <v>08</v>
      </c>
      <c r="M11" t="str" s="13">
        <f>IF(ISBLANK(PARCELAS[[#This Row],[DATA PAGAMENTO]]),"",INDEX(MESES[MÊS],MATCH(MONTH(PARCELAS[[#This Row],[DATA PAGAMENTO]]),MESES[N],0)))</f>
        <v>dezembro</v>
      </c>
      <c r="N11" s="12">
        <f>IF(OR(ISBLANK(PARCELAS[[#This Row],[DATA PAGAMENTO]]),YEAR(PARCELAS[[#This Row],[DATA PAGAMENTO]])=1900),"",YEAR(PARCELAS[[#This Row],[DATA PAGAMENTO]]))</f>
        <v>2025</v>
      </c>
      <c r="O11" t="s">
        <v>43</v>
      </c>
      <c r="Q11">
        <v>10</v>
      </c>
      <c r="R11" t="s">
        <v>55</v>
      </c>
    </row>
    <row r="12" spans="1:18">
      <c r="A12" t="s" s="8">
        <v>17</v>
      </c>
      <c r="B12" t="str" s="5">
        <f>IFERROR(INDEX(GERAL[CPF],MATCH(PARCELAS[[#This Row],[NOME]],GERAL[NOME],0)),"-")</f>
        <v>064.142.434-50</v>
      </c>
      <c r="C12" s="16">
        <f>COUNTIF(PARCELAS[[#Headers],[NOME]]:PARCELAS[[#This Row],[NOME]],PARCELAS[[#This Row],[NOME]])</f>
        <v>4</v>
      </c>
      <c r="D12" t="s" s="8">
        <v>3</v>
      </c>
      <c r="E12" s="10">
        <v>1000</v>
      </c>
      <c r="F12" s="9">
        <v>45999</v>
      </c>
      <c r="G12" s="9">
        <v>45999</v>
      </c>
      <c r="H12" t="s" s="11">
        <v>11</v>
      </c>
      <c r="I12" t="str" s="12">
        <f>IFERROR(INDEX(GERAL[PIX],MATCH(PARCELAS[[#This Row],[NOME]],GERAL[NOME],0)),"-")</f>
        <v>064.142.434-50</v>
      </c>
      <c r="J12" t="s">
        <f>IFERROR(INDEX(GERAL[BANCO],MATCH(PARCELAS[[#This Row],[NOME]],GERAL[NOME],0)),"-")</f>
        <v>45</v>
      </c>
      <c r="K1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13500</v>
      </c>
      <c r="L12" t="str" s="12">
        <f>IF(OR(ISBLANK(PARCELAS[[#This Row],[DATA PAGAMENTO]]),DAY(PARCELAS[[#This Row],[DATA PAGAMENTO]])=0),"",TEXT(DAY(PARCELAS[[#This Row],[DATA PAGAMENTO]]),"00"))</f>
        <v>08</v>
      </c>
      <c r="M12" t="str" s="13">
        <f>IF(ISBLANK(PARCELAS[[#This Row],[DATA PAGAMENTO]]),"",INDEX(MESES[MÊS],MATCH(MONTH(PARCELAS[[#This Row],[DATA PAGAMENTO]]),MESES[N],0)))</f>
        <v>dezembro</v>
      </c>
      <c r="N12" s="12">
        <f>IF(OR(ISBLANK(PARCELAS[[#This Row],[DATA PAGAMENTO]]),YEAR(PARCELAS[[#This Row],[DATA PAGAMENTO]])=1900),"",YEAR(PARCELAS[[#This Row],[DATA PAGAMENTO]]))</f>
        <v>2025</v>
      </c>
      <c r="O12" t="s" s="15">
        <v>46</v>
      </c>
      <c r="Q12">
        <v>11</v>
      </c>
      <c r="R12" t="s">
        <v>56</v>
      </c>
    </row>
    <row r="13" spans="1:18">
      <c r="A13" t="s" s="8">
        <v>23</v>
      </c>
      <c r="B13" t="str" s="5">
        <f>IFERROR(INDEX(GERAL[CPF],MATCH(PARCELAS[[#This Row],[NOME]],GERAL[NOME],0)),"-")</f>
        <v>341.267.018-93</v>
      </c>
      <c r="C13" s="16">
        <f>COUNTIF(PARCELAS[[#Headers],[NOME]]:PARCELAS[[#This Row],[NOME]],PARCELAS[[#This Row],[NOME]])</f>
        <v>4</v>
      </c>
      <c r="D13" t="s" s="8">
        <v>3</v>
      </c>
      <c r="E13" s="10">
        <v>1000</v>
      </c>
      <c r="F13" s="9">
        <v>45999</v>
      </c>
      <c r="G13" s="9">
        <v>45999</v>
      </c>
      <c r="H13" t="s" s="11">
        <v>11</v>
      </c>
      <c r="I13" t="str" s="12">
        <f>IFERROR(INDEX(GERAL[PIX],MATCH(PARCELAS[[#This Row],[NOME]],GERAL[NOME],0)),"-")</f>
        <v>(82)99929-1488</v>
      </c>
      <c r="J13" t="s">
        <f>IFERROR(INDEX(GERAL[BANCO],MATCH(PARCELAS[[#This Row],[NOME]],GERAL[NOME],0)),"-")</f>
        <v>42</v>
      </c>
      <c r="K1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13500</v>
      </c>
      <c r="L13" t="str" s="12">
        <f>IF(OR(ISBLANK(PARCELAS[[#This Row],[DATA PAGAMENTO]]),DAY(PARCELAS[[#This Row],[DATA PAGAMENTO]])=0),"",TEXT(DAY(PARCELAS[[#This Row],[DATA PAGAMENTO]]),"00"))</f>
        <v>08</v>
      </c>
      <c r="M13" t="str" s="13">
        <f>IF(ISBLANK(PARCELAS[[#This Row],[DATA PAGAMENTO]]),"",INDEX(MESES[MÊS],MATCH(MONTH(PARCELAS[[#This Row],[DATA PAGAMENTO]]),MESES[N],0)))</f>
        <v>dezembro</v>
      </c>
      <c r="N13" s="12">
        <f>IF(OR(ISBLANK(PARCELAS[[#This Row],[DATA PAGAMENTO]]),YEAR(PARCELAS[[#This Row],[DATA PAGAMENTO]])=1900),"",YEAR(PARCELAS[[#This Row],[DATA PAGAMENTO]]))</f>
        <v>2025</v>
      </c>
      <c r="O13" t="s" s="15">
        <v>46</v>
      </c>
      <c r="Q13">
        <v>12</v>
      </c>
      <c r="R13" t="s">
        <v>57</v>
      </c>
    </row>
    <row r="14" spans="1:18">
      <c r="A14" t="s" s="8">
        <v>12</v>
      </c>
      <c r="B14" t="str" s="5">
        <f>IFERROR(INDEX(GERAL[CPF],MATCH(PARCELAS[[#This Row],[NOME]],GERAL[NOME],0)),"-")</f>
        <v>046.931.264-54</v>
      </c>
      <c r="C14" s="16">
        <f>COUNTIF(PARCELAS[[#Headers],[NOME]]:PARCELAS[[#This Row],[NOME]],PARCELAS[[#This Row],[NOME]])</f>
        <v>5</v>
      </c>
      <c r="D14" t="s" s="8">
        <v>3</v>
      </c>
      <c r="E14" s="22">
        <v>1000</v>
      </c>
      <c r="F14" s="9">
        <v>46033</v>
      </c>
      <c r="G14" s="9">
        <v>46033</v>
      </c>
      <c r="H14" t="s" s="11">
        <v>11</v>
      </c>
      <c r="I14" t="str" s="12">
        <f>IFERROR(INDEX(GERAL[PIX],MATCH(PARCELAS[[#This Row],[NOME]],GERAL[NOME],0)),"-")</f>
        <v>046.931.264-54</v>
      </c>
      <c r="J14" t="s">
        <f>IFERROR(INDEX(GERAL[BANCO],MATCH(PARCELAS[[#This Row],[NOME]],GERAL[NOME],0)),"-")</f>
        <v>42</v>
      </c>
      <c r="K14" s="23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12500</v>
      </c>
      <c r="L14" t="str" s="12">
        <f>IF(OR(ISBLANK(PARCELAS[[#This Row],[DATA PAGAMENTO]]),DAY(PARCELAS[[#This Row],[DATA PAGAMENTO]])=0),"",TEXT(DAY(PARCELAS[[#This Row],[DATA PAGAMENTO]]),"00"))</f>
        <v>11</v>
      </c>
      <c r="M14" t="str" s="13">
        <f>IF(ISBLANK(PARCELAS[[#This Row],[DATA PAGAMENTO]]),"",INDEX(MESES[MÊS],MATCH(MONTH(PARCELAS[[#This Row],[DATA PAGAMENTO]]),MESES[N],0)))</f>
        <v>janeiro</v>
      </c>
      <c r="N14" s="12">
        <f>IF(OR(ISBLANK(PARCELAS[[#This Row],[DATA PAGAMENTO]]),YEAR(PARCELAS[[#This Row],[DATA PAGAMENTO]])=1900),"",YEAR(PARCELAS[[#This Row],[DATA PAGAMENTO]]))</f>
        <v>2026</v>
      </c>
      <c r="O14" t="s">
        <v>43</v>
      </c>
    </row>
    <row r="15" spans="1:18">
      <c r="A15" t="s" s="8">
        <v>17</v>
      </c>
      <c r="B15" t="str" s="5">
        <f>IFERROR(INDEX(GERAL[CPF],MATCH(PARCELAS[[#This Row],[NOME]],GERAL[NOME],0)),"-")</f>
        <v>064.142.434-50</v>
      </c>
      <c r="C15" s="16">
        <f>COUNTIF(PARCELAS[[#Headers],[NOME]]:PARCELAS[[#This Row],[NOME]],PARCELAS[[#This Row],[NOME]])</f>
        <v>5</v>
      </c>
      <c r="D15" t="s" s="8">
        <v>3</v>
      </c>
      <c r="E15" s="22">
        <v>1000</v>
      </c>
      <c r="F15" s="9">
        <v>46033</v>
      </c>
      <c r="G15" s="9">
        <v>46033</v>
      </c>
      <c r="H15" t="s" s="11">
        <v>11</v>
      </c>
      <c r="I15" t="str" s="12">
        <f>IFERROR(INDEX(GERAL[PIX],MATCH(PARCELAS[[#This Row],[NOME]],GERAL[NOME],0)),"-")</f>
        <v>064.142.434-50</v>
      </c>
      <c r="J15" t="s">
        <f>IFERROR(INDEX(GERAL[BANCO],MATCH(PARCELAS[[#This Row],[NOME]],GERAL[NOME],0)),"-")</f>
        <v>45</v>
      </c>
      <c r="K15" s="23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12500</v>
      </c>
      <c r="L15" t="str" s="12">
        <f>IF(OR(ISBLANK(PARCELAS[[#This Row],[DATA PAGAMENTO]]),DAY(PARCELAS[[#This Row],[DATA PAGAMENTO]])=0),"",TEXT(DAY(PARCELAS[[#This Row],[DATA PAGAMENTO]]),"00"))</f>
        <v>11</v>
      </c>
      <c r="M15" t="str" s="13">
        <f>IF(ISBLANK(PARCELAS[[#This Row],[DATA PAGAMENTO]]),"",INDEX(MESES[MÊS],MATCH(MONTH(PARCELAS[[#This Row],[DATA PAGAMENTO]]),MESES[N],0)))</f>
        <v>janeiro</v>
      </c>
      <c r="N15" s="12">
        <f>IF(OR(ISBLANK(PARCELAS[[#This Row],[DATA PAGAMENTO]]),YEAR(PARCELAS[[#This Row],[DATA PAGAMENTO]])=1900),"",YEAR(PARCELAS[[#This Row],[DATA PAGAMENTO]]))</f>
        <v>2026</v>
      </c>
      <c r="O15" t="s" s="15">
        <v>46</v>
      </c>
    </row>
    <row r="16" spans="1:18">
      <c r="A16" t="s" s="8">
        <v>23</v>
      </c>
      <c r="B16" t="str" s="5">
        <f>IFERROR(INDEX(GERAL[CPF],MATCH(PARCELAS[[#This Row],[NOME]],GERAL[NOME],0)),"-")</f>
        <v>341.267.018-93</v>
      </c>
      <c r="C16" s="16">
        <f>COUNTIF(PARCELAS[[#Headers],[NOME]]:PARCELAS[[#This Row],[NOME]],PARCELAS[[#This Row],[NOME]])</f>
        <v>5</v>
      </c>
      <c r="D16" t="s" s="8">
        <v>3</v>
      </c>
      <c r="E16" s="22">
        <v>1000</v>
      </c>
      <c r="F16" s="9">
        <v>46033</v>
      </c>
      <c r="G16" s="9">
        <v>46033</v>
      </c>
      <c r="H16" t="s" s="11">
        <v>11</v>
      </c>
      <c r="I16" t="str" s="12">
        <f>IFERROR(INDEX(GERAL[PIX],MATCH(PARCELAS[[#This Row],[NOME]],GERAL[NOME],0)),"-")</f>
        <v>(82)99929-1488</v>
      </c>
      <c r="J16" t="s">
        <f>IFERROR(INDEX(GERAL[BANCO],MATCH(PARCELAS[[#This Row],[NOME]],GERAL[NOME],0)),"-")</f>
        <v>42</v>
      </c>
      <c r="K16" s="23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12500</v>
      </c>
      <c r="L16" t="str" s="12">
        <f>IF(OR(ISBLANK(PARCELAS[[#This Row],[DATA PAGAMENTO]]),DAY(PARCELAS[[#This Row],[DATA PAGAMENTO]])=0),"",TEXT(DAY(PARCELAS[[#This Row],[DATA PAGAMENTO]]),"00"))</f>
        <v>11</v>
      </c>
      <c r="M16" t="str" s="13">
        <f>IF(ISBLANK(PARCELAS[[#This Row],[DATA PAGAMENTO]]),"",INDEX(MESES[MÊS],MATCH(MONTH(PARCELAS[[#This Row],[DATA PAGAMENTO]]),MESES[N],0)))</f>
        <v>janeiro</v>
      </c>
      <c r="N16" s="12">
        <f>IF(OR(ISBLANK(PARCELAS[[#This Row],[DATA PAGAMENTO]]),YEAR(PARCELAS[[#This Row],[DATA PAGAMENTO]])=1900),"",YEAR(PARCELAS[[#This Row],[DATA PAGAMENTO]]))</f>
        <v>2026</v>
      </c>
      <c r="O16" t="s" s="15">
        <v>46</v>
      </c>
    </row>
    <row r="17" spans="1:18">
      <c r="A17" t="s" s="8">
        <v>12</v>
      </c>
      <c r="B17" t="str" s="5">
        <f>IFERROR(INDEX(GERAL[CPF],MATCH(PARCELAS[[#This Row],[NOME]],GERAL[NOME],0)),"-")</f>
        <v>046.931.264-54</v>
      </c>
      <c r="C17" s="16">
        <f>COUNTIF(PARCELAS[[#Headers],[NOME]]:PARCELAS[[#This Row],[NOME]],PARCELAS[[#This Row],[NOME]])</f>
        <v>6</v>
      </c>
      <c r="D17" t="s" s="8">
        <v>3</v>
      </c>
      <c r="E17" s="22">
        <v>1000</v>
      </c>
      <c r="F17" s="9">
        <v>46063</v>
      </c>
      <c r="G17" s="9">
        <v>46063</v>
      </c>
      <c r="H17" t="s" s="11">
        <v>11</v>
      </c>
      <c r="I17" t="str" s="12">
        <f>IFERROR(INDEX(GERAL[PIX],MATCH(PARCELAS[[#This Row],[NOME]],GERAL[NOME],0)),"-")</f>
        <v>046.931.264-54</v>
      </c>
      <c r="J17" t="s">
        <f>IFERROR(INDEX(GERAL[BANCO],MATCH(PARCELAS[[#This Row],[NOME]],GERAL[NOME],0)),"-")</f>
        <v>42</v>
      </c>
      <c r="K1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11500</v>
      </c>
      <c r="L17" t="str" s="12">
        <f>IF(OR(ISBLANK(PARCELAS[[#This Row],[DATA PAGAMENTO]]),DAY(PARCELAS[[#This Row],[DATA PAGAMENTO]])=0),"",TEXT(DAY(PARCELAS[[#This Row],[DATA PAGAMENTO]]),"00"))</f>
        <v>10</v>
      </c>
      <c r="M17" t="str" s="13">
        <f>IF(ISBLANK(PARCELAS[[#This Row],[DATA PAGAMENTO]]),"",INDEX(MESES[MÊS],MATCH(MONTH(PARCELAS[[#This Row],[DATA PAGAMENTO]]),MESES[N],0)))</f>
        <v>fevereiro</v>
      </c>
      <c r="N17" s="12">
        <f>IF(OR(ISBLANK(PARCELAS[[#This Row],[DATA PAGAMENTO]]),YEAR(PARCELAS[[#This Row],[DATA PAGAMENTO]])=1900),"",YEAR(PARCELAS[[#This Row],[DATA PAGAMENTO]]))</f>
        <v>2026</v>
      </c>
      <c r="O17" t="s">
        <v>43</v>
      </c>
    </row>
    <row r="18" spans="1:18">
      <c r="A18" t="s" s="8">
        <v>17</v>
      </c>
      <c r="B18" t="str" s="5">
        <f>IFERROR(INDEX(GERAL[CPF],MATCH(PARCELAS[[#This Row],[NOME]],GERAL[NOME],0)),"-")</f>
        <v>064.142.434-50</v>
      </c>
      <c r="C18" s="16">
        <f>COUNTIF(PARCELAS[[#Headers],[NOME]]:PARCELAS[[#This Row],[NOME]],PARCELAS[[#This Row],[NOME]])</f>
        <v>6</v>
      </c>
      <c r="D18" t="s" s="8">
        <v>3</v>
      </c>
      <c r="E18" s="22">
        <v>1000</v>
      </c>
      <c r="F18" s="9">
        <v>46063</v>
      </c>
      <c r="G18" s="9">
        <v>46063</v>
      </c>
      <c r="H18" t="s" s="11">
        <v>11</v>
      </c>
      <c r="I18" t="str" s="12">
        <f>IFERROR(INDEX(GERAL[PIX],MATCH(PARCELAS[[#This Row],[NOME]],GERAL[NOME],0)),"-")</f>
        <v>064.142.434-50</v>
      </c>
      <c r="J18" t="s">
        <f>IFERROR(INDEX(GERAL[BANCO],MATCH(PARCELAS[[#This Row],[NOME]],GERAL[NOME],0)),"-")</f>
        <v>45</v>
      </c>
      <c r="K1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11500</v>
      </c>
      <c r="L18" t="str" s="12">
        <f>IF(OR(ISBLANK(PARCELAS[[#This Row],[DATA PAGAMENTO]]),DAY(PARCELAS[[#This Row],[DATA PAGAMENTO]])=0),"",TEXT(DAY(PARCELAS[[#This Row],[DATA PAGAMENTO]]),"00"))</f>
        <v>10</v>
      </c>
      <c r="M18" t="str" s="13">
        <f>IF(ISBLANK(PARCELAS[[#This Row],[DATA PAGAMENTO]]),"",INDEX(MESES[MÊS],MATCH(MONTH(PARCELAS[[#This Row],[DATA PAGAMENTO]]),MESES[N],0)))</f>
        <v>fevereiro</v>
      </c>
      <c r="N18" s="12">
        <f>IF(OR(ISBLANK(PARCELAS[[#This Row],[DATA PAGAMENTO]]),YEAR(PARCELAS[[#This Row],[DATA PAGAMENTO]])=1900),"",YEAR(PARCELAS[[#This Row],[DATA PAGAMENTO]]))</f>
        <v>2026</v>
      </c>
      <c r="O18" t="s" s="15">
        <v>46</v>
      </c>
    </row>
    <row r="19" spans="1:18">
      <c r="A19" t="s" s="8">
        <v>23</v>
      </c>
      <c r="B19" t="str" s="5">
        <f>IFERROR(INDEX(GERAL[CPF],MATCH(PARCELAS[[#This Row],[NOME]],GERAL[NOME],0)),"-")</f>
        <v>341.267.018-93</v>
      </c>
      <c r="C19" s="16">
        <f>COUNTIF(PARCELAS[[#Headers],[NOME]]:PARCELAS[[#This Row],[NOME]],PARCELAS[[#This Row],[NOME]])</f>
        <v>6</v>
      </c>
      <c r="D19" t="s" s="8">
        <v>3</v>
      </c>
      <c r="E19" s="22">
        <v>1000</v>
      </c>
      <c r="F19" s="9">
        <v>46063</v>
      </c>
      <c r="G19" s="9">
        <v>46063</v>
      </c>
      <c r="H19" t="s" s="11">
        <v>11</v>
      </c>
      <c r="I19" t="str" s="12">
        <f>IFERROR(INDEX(GERAL[PIX],MATCH(PARCELAS[[#This Row],[NOME]],GERAL[NOME],0)),"-")</f>
        <v>(82)99929-1488</v>
      </c>
      <c r="J19" t="s">
        <f>IFERROR(INDEX(GERAL[BANCO],MATCH(PARCELAS[[#This Row],[NOME]],GERAL[NOME],0)),"-")</f>
        <v>42</v>
      </c>
      <c r="K1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11500</v>
      </c>
      <c r="L19" t="str" s="12">
        <f>IF(OR(ISBLANK(PARCELAS[[#This Row],[DATA PAGAMENTO]]),DAY(PARCELAS[[#This Row],[DATA PAGAMENTO]])=0),"",TEXT(DAY(PARCELAS[[#This Row],[DATA PAGAMENTO]]),"00"))</f>
        <v>10</v>
      </c>
      <c r="M19" t="str" s="13">
        <f>IF(ISBLANK(PARCELAS[[#This Row],[DATA PAGAMENTO]]),"",INDEX(MESES[MÊS],MATCH(MONTH(PARCELAS[[#This Row],[DATA PAGAMENTO]]),MESES[N],0)))</f>
        <v>fevereiro</v>
      </c>
      <c r="N19" s="12">
        <f>IF(OR(ISBLANK(PARCELAS[[#This Row],[DATA PAGAMENTO]]),YEAR(PARCELAS[[#This Row],[DATA PAGAMENTO]])=1900),"",YEAR(PARCELAS[[#This Row],[DATA PAGAMENTO]]))</f>
        <v>2026</v>
      </c>
      <c r="O19" t="s" s="15">
        <v>46</v>
      </c>
    </row>
    <row r="20" spans="1:18">
      <c r="A20" t="s" s="8">
        <v>12</v>
      </c>
      <c r="B20" t="str" s="5">
        <f>IFERROR(INDEX(GERAL[CPF],MATCH(PARCELAS[[#This Row],[NOME]],GERAL[NOME],0)),"-")</f>
        <v>046.931.264-54</v>
      </c>
      <c r="C20" s="16">
        <f>COUNTIF(PARCELAS[[#Headers],[NOME]]:PARCELAS[[#This Row],[NOME]],PARCELAS[[#This Row],[NOME]])</f>
        <v>7</v>
      </c>
      <c r="D20" t="s" s="8">
        <v>3</v>
      </c>
      <c r="E20" s="10">
        <v>1000</v>
      </c>
      <c r="F20" s="9">
        <v>46091</v>
      </c>
      <c r="G20" s="9">
        <v>46091</v>
      </c>
      <c r="H20" t="s" s="11">
        <v>11</v>
      </c>
      <c r="I20" t="str" s="12">
        <f>IFERROR(INDEX(GERAL[PIX],MATCH(PARCELAS[[#This Row],[NOME]],GERAL[NOME],0)),"-")</f>
        <v>046.931.264-54</v>
      </c>
      <c r="J20" t="s">
        <f>IFERROR(INDEX(GERAL[BANCO],MATCH(PARCELAS[[#This Row],[NOME]],GERAL[NOME],0)),"-")</f>
        <v>42</v>
      </c>
      <c r="K2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10500</v>
      </c>
      <c r="L20" t="str" s="12">
        <f>IF(OR(ISBLANK(PARCELAS[[#This Row],[DATA PAGAMENTO]]),DAY(PARCELAS[[#This Row],[DATA PAGAMENTO]])=0),"",TEXT(DAY(PARCELAS[[#This Row],[DATA PAGAMENTO]]),"00"))</f>
        <v>10</v>
      </c>
      <c r="M20" t="str" s="13">
        <f>IF(ISBLANK(PARCELAS[[#This Row],[DATA PAGAMENTO]]),"",INDEX(MESES[MÊS],MATCH(MONTH(PARCELAS[[#This Row],[DATA PAGAMENTO]]),MESES[N],0)))</f>
        <v>março</v>
      </c>
      <c r="N20" s="12">
        <f>IF(OR(ISBLANK(PARCELAS[[#This Row],[DATA PAGAMENTO]]),YEAR(PARCELAS[[#This Row],[DATA PAGAMENTO]])=1900),"",YEAR(PARCELAS[[#This Row],[DATA PAGAMENTO]]))</f>
        <v>2026</v>
      </c>
      <c r="O20" t="s">
        <v>43</v>
      </c>
    </row>
    <row r="21" spans="1:18">
      <c r="A21" t="s" s="8">
        <v>17</v>
      </c>
      <c r="B21" t="str" s="5">
        <f>IFERROR(INDEX(GERAL[CPF],MATCH(PARCELAS[[#This Row],[NOME]],GERAL[NOME],0)),"-")</f>
        <v>064.142.434-50</v>
      </c>
      <c r="C21" s="16">
        <f>COUNTIF(PARCELAS[[#Headers],[NOME]]:PARCELAS[[#This Row],[NOME]],PARCELAS[[#This Row],[NOME]])</f>
        <v>7</v>
      </c>
      <c r="D21" t="s" s="8">
        <v>3</v>
      </c>
      <c r="E21" s="10">
        <v>1000</v>
      </c>
      <c r="F21" s="9">
        <v>46091</v>
      </c>
      <c r="G21" s="9">
        <v>46091</v>
      </c>
      <c r="H21" t="s" s="11">
        <v>11</v>
      </c>
      <c r="I21" t="str" s="12">
        <f>IFERROR(INDEX(GERAL[PIX],MATCH(PARCELAS[[#This Row],[NOME]],GERAL[NOME],0)),"-")</f>
        <v>064.142.434-50</v>
      </c>
      <c r="J21" t="s">
        <f>IFERROR(INDEX(GERAL[BANCO],MATCH(PARCELAS[[#This Row],[NOME]],GERAL[NOME],0)),"-")</f>
        <v>45</v>
      </c>
      <c r="K2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10500</v>
      </c>
      <c r="L21" t="str" s="12">
        <f>IF(OR(ISBLANK(PARCELAS[[#This Row],[DATA PAGAMENTO]]),DAY(PARCELAS[[#This Row],[DATA PAGAMENTO]])=0),"",TEXT(DAY(PARCELAS[[#This Row],[DATA PAGAMENTO]]),"00"))</f>
        <v>10</v>
      </c>
      <c r="M21" t="str" s="13">
        <f>IF(ISBLANK(PARCELAS[[#This Row],[DATA PAGAMENTO]]),"",INDEX(MESES[MÊS],MATCH(MONTH(PARCELAS[[#This Row],[DATA PAGAMENTO]]),MESES[N],0)))</f>
        <v>março</v>
      </c>
      <c r="N21" s="12">
        <f>IF(OR(ISBLANK(PARCELAS[[#This Row],[DATA PAGAMENTO]]),YEAR(PARCELAS[[#This Row],[DATA PAGAMENTO]])=1900),"",YEAR(PARCELAS[[#This Row],[DATA PAGAMENTO]]))</f>
        <v>2026</v>
      </c>
      <c r="O21" t="s" s="15">
        <v>46</v>
      </c>
    </row>
    <row r="22" spans="1:18">
      <c r="A22" t="s" s="8">
        <v>23</v>
      </c>
      <c r="B22" t="str" s="5">
        <f>IFERROR(INDEX(GERAL[CPF],MATCH(PARCELAS[[#This Row],[NOME]],GERAL[NOME],0)),"-")</f>
        <v>341.267.018-93</v>
      </c>
      <c r="C22" s="16">
        <f>COUNTIF(PARCELAS[[#Headers],[NOME]]:PARCELAS[[#This Row],[NOME]],PARCELAS[[#This Row],[NOME]])</f>
        <v>7</v>
      </c>
      <c r="D22" t="s" s="8">
        <v>3</v>
      </c>
      <c r="E22" s="10">
        <v>1000</v>
      </c>
      <c r="F22" s="9">
        <v>46091</v>
      </c>
      <c r="G22" s="9">
        <v>46091</v>
      </c>
      <c r="H22" t="s" s="11">
        <v>11</v>
      </c>
      <c r="I22" t="str" s="12">
        <f>IFERROR(INDEX(GERAL[PIX],MATCH(PARCELAS[[#This Row],[NOME]],GERAL[NOME],0)),"-")</f>
        <v>(82)99929-1488</v>
      </c>
      <c r="J22" t="s">
        <f>IFERROR(INDEX(GERAL[BANCO],MATCH(PARCELAS[[#This Row],[NOME]],GERAL[NOME],0)),"-")</f>
        <v>42</v>
      </c>
      <c r="K2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10500</v>
      </c>
      <c r="L22" t="str" s="12">
        <f>IF(OR(ISBLANK(PARCELAS[[#This Row],[DATA PAGAMENTO]]),DAY(PARCELAS[[#This Row],[DATA PAGAMENTO]])=0),"",TEXT(DAY(PARCELAS[[#This Row],[DATA PAGAMENTO]]),"00"))</f>
        <v>10</v>
      </c>
      <c r="M22" t="str" s="13">
        <f>IF(ISBLANK(PARCELAS[[#This Row],[DATA PAGAMENTO]]),"",INDEX(MESES[MÊS],MATCH(MONTH(PARCELAS[[#This Row],[DATA PAGAMENTO]]),MESES[N],0)))</f>
        <v>março</v>
      </c>
      <c r="N22" s="12">
        <f>IF(OR(ISBLANK(PARCELAS[[#This Row],[DATA PAGAMENTO]]),YEAR(PARCELAS[[#This Row],[DATA PAGAMENTO]])=1900),"",YEAR(PARCELAS[[#This Row],[DATA PAGAMENTO]]))</f>
        <v>2026</v>
      </c>
      <c r="O22" t="s" s="15">
        <v>46</v>
      </c>
    </row>
    <row r="23" spans="1:18">
      <c r="A23" t="s" s="8">
        <v>12</v>
      </c>
      <c r="B23" t="str" s="5">
        <f>IFERROR(INDEX(GERAL[CPF],MATCH(PARCELAS[[#This Row],[NOME]],GERAL[NOME],0)),"-")</f>
        <v>046.931.264-54</v>
      </c>
      <c r="C23" s="16">
        <f>COUNTIF(PARCELAS[[#Headers],[NOME]]:PARCELAS[[#This Row],[NOME]],PARCELAS[[#This Row],[NOME]])</f>
        <v>8</v>
      </c>
      <c r="D23" t="s" s="8">
        <v>3</v>
      </c>
      <c r="E23" s="10">
        <v>1000</v>
      </c>
      <c r="F23" s="9">
        <v>46125</v>
      </c>
      <c r="G23" s="9">
        <v>46125</v>
      </c>
      <c r="H23" t="s" s="11">
        <v>11</v>
      </c>
      <c r="I23" t="str" s="12">
        <f>IFERROR(INDEX(GERAL[PIX],MATCH(PARCELAS[[#This Row],[NOME]],GERAL[NOME],0)),"-")</f>
        <v>046.931.264-54</v>
      </c>
      <c r="J23" t="s">
        <f>IFERROR(INDEX(GERAL[BANCO],MATCH(PARCELAS[[#This Row],[NOME]],GERAL[NOME],0)),"-")</f>
        <v>42</v>
      </c>
      <c r="K2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9500</v>
      </c>
      <c r="L23" t="str" s="12">
        <f>IF(OR(ISBLANK(PARCELAS[[#This Row],[DATA PAGAMENTO]]),DAY(PARCELAS[[#This Row],[DATA PAGAMENTO]])=0),"",TEXT(DAY(PARCELAS[[#This Row],[DATA PAGAMENTO]]),"00"))</f>
        <v>13</v>
      </c>
      <c r="M23" t="str" s="13">
        <f>IF(ISBLANK(PARCELAS[[#This Row],[DATA PAGAMENTO]]),"",INDEX(MESES[MÊS],MATCH(MONTH(PARCELAS[[#This Row],[DATA PAGAMENTO]]),MESES[N],0)))</f>
        <v>abril</v>
      </c>
      <c r="N23" s="12">
        <f>IF(OR(ISBLANK(PARCELAS[[#This Row],[DATA PAGAMENTO]]),YEAR(PARCELAS[[#This Row],[DATA PAGAMENTO]])=1900),"",YEAR(PARCELAS[[#This Row],[DATA PAGAMENTO]]))</f>
        <v>2026</v>
      </c>
      <c r="O23" t="s">
        <v>43</v>
      </c>
    </row>
    <row r="24" spans="1:18">
      <c r="A24" t="s" s="8">
        <v>17</v>
      </c>
      <c r="B24" t="str" s="5">
        <f>IFERROR(INDEX(GERAL[CPF],MATCH(PARCELAS[[#This Row],[NOME]],GERAL[NOME],0)),"-")</f>
        <v>064.142.434-50</v>
      </c>
      <c r="C24" s="16">
        <f>COUNTIF(PARCELAS[[#Headers],[NOME]]:PARCELAS[[#This Row],[NOME]],PARCELAS[[#This Row],[NOME]])</f>
        <v>8</v>
      </c>
      <c r="D24" t="s" s="8">
        <v>3</v>
      </c>
      <c r="E24" s="10">
        <v>1000</v>
      </c>
      <c r="F24" s="9">
        <v>46125</v>
      </c>
      <c r="G24" s="9">
        <v>46125</v>
      </c>
      <c r="H24" t="s" s="11">
        <v>11</v>
      </c>
      <c r="I24" t="str" s="12">
        <f>IFERROR(INDEX(GERAL[PIX],MATCH(PARCELAS[[#This Row],[NOME]],GERAL[NOME],0)),"-")</f>
        <v>064.142.434-50</v>
      </c>
      <c r="J24" t="s">
        <f>IFERROR(INDEX(GERAL[BANCO],MATCH(PARCELAS[[#This Row],[NOME]],GERAL[NOME],0)),"-")</f>
        <v>45</v>
      </c>
      <c r="K2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9500</v>
      </c>
      <c r="L24" t="str" s="12">
        <f>IF(OR(ISBLANK(PARCELAS[[#This Row],[DATA PAGAMENTO]]),DAY(PARCELAS[[#This Row],[DATA PAGAMENTO]])=0),"",TEXT(DAY(PARCELAS[[#This Row],[DATA PAGAMENTO]]),"00"))</f>
        <v>13</v>
      </c>
      <c r="M24" t="str" s="13">
        <f>IF(ISBLANK(PARCELAS[[#This Row],[DATA PAGAMENTO]]),"",INDEX(MESES[MÊS],MATCH(MONTH(PARCELAS[[#This Row],[DATA PAGAMENTO]]),MESES[N],0)))</f>
        <v>abril</v>
      </c>
      <c r="N24" s="12">
        <f>IF(OR(ISBLANK(PARCELAS[[#This Row],[DATA PAGAMENTO]]),YEAR(PARCELAS[[#This Row],[DATA PAGAMENTO]])=1900),"",YEAR(PARCELAS[[#This Row],[DATA PAGAMENTO]]))</f>
        <v>2026</v>
      </c>
      <c r="O24" t="s" s="15">
        <v>46</v>
      </c>
    </row>
    <row r="25" spans="1:18">
      <c r="A25" t="s" s="8">
        <v>23</v>
      </c>
      <c r="B25" t="str" s="5">
        <f>IFERROR(INDEX(GERAL[CPF],MATCH(PARCELAS[[#This Row],[NOME]],GERAL[NOME],0)),"-")</f>
        <v>341.267.018-93</v>
      </c>
      <c r="C25" s="16">
        <f>COUNTIF(PARCELAS[[#Headers],[NOME]]:PARCELAS[[#This Row],[NOME]],PARCELAS[[#This Row],[NOME]])</f>
        <v>8</v>
      </c>
      <c r="D25" t="s" s="8">
        <v>3</v>
      </c>
      <c r="E25" s="10">
        <v>1000</v>
      </c>
      <c r="F25" s="9">
        <v>46125</v>
      </c>
      <c r="G25" s="9">
        <v>46125</v>
      </c>
      <c r="H25" t="s" s="11">
        <v>11</v>
      </c>
      <c r="I25" t="str" s="12">
        <f>IFERROR(INDEX(GERAL[PIX],MATCH(PARCELAS[[#This Row],[NOME]],GERAL[NOME],0)),"-")</f>
        <v>(82)99929-1488</v>
      </c>
      <c r="J25" t="s">
        <f>IFERROR(INDEX(GERAL[BANCO],MATCH(PARCELAS[[#This Row],[NOME]],GERAL[NOME],0)),"-")</f>
        <v>42</v>
      </c>
      <c r="K2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9500</v>
      </c>
      <c r="L25" t="str" s="12">
        <f>IF(OR(ISBLANK(PARCELAS[[#This Row],[DATA PAGAMENTO]]),DAY(PARCELAS[[#This Row],[DATA PAGAMENTO]])=0),"",TEXT(DAY(PARCELAS[[#This Row],[DATA PAGAMENTO]]),"00"))</f>
        <v>13</v>
      </c>
      <c r="M25" t="str" s="13">
        <f>IF(ISBLANK(PARCELAS[[#This Row],[DATA PAGAMENTO]]),"",INDEX(MESES[MÊS],MATCH(MONTH(PARCELAS[[#This Row],[DATA PAGAMENTO]]),MESES[N],0)))</f>
        <v>abril</v>
      </c>
      <c r="N25" s="12">
        <f>IF(OR(ISBLANK(PARCELAS[[#This Row],[DATA PAGAMENTO]]),YEAR(PARCELAS[[#This Row],[DATA PAGAMENTO]])=1900),"",YEAR(PARCELAS[[#This Row],[DATA PAGAMENTO]]))</f>
        <v>2026</v>
      </c>
      <c r="O25" t="s" s="15">
        <v>46</v>
      </c>
    </row>
    <row r="26" spans="1:18">
      <c r="A26" t="s" s="8">
        <v>12</v>
      </c>
      <c r="B26" t="str" s="5">
        <f>IFERROR(INDEX(GERAL[CPF],MATCH(PARCELAS[[#This Row],[NOME]],GERAL[NOME],0)),"-")</f>
        <v>046.931.264-54</v>
      </c>
      <c r="C26" s="16">
        <f>COUNTIF(PARCELAS[[#Headers],[NOME]]:PARCELAS[[#This Row],[NOME]],PARCELAS[[#This Row],[NOME]])</f>
        <v>9</v>
      </c>
      <c r="D26" t="s" s="8">
        <v>3</v>
      </c>
      <c r="E26" s="10">
        <v>1000</v>
      </c>
      <c r="F26" s="9">
        <v>46153</v>
      </c>
      <c r="G26" s="9">
        <v>46153</v>
      </c>
      <c r="H26" t="s" s="11">
        <v>11</v>
      </c>
      <c r="I26" t="str" s="12">
        <f>IFERROR(INDEX(GERAL[PIX],MATCH(PARCELAS[[#This Row],[NOME]],GERAL[NOME],0)),"-")</f>
        <v>046.931.264-54</v>
      </c>
      <c r="J26" t="s">
        <f>IFERROR(INDEX(GERAL[BANCO],MATCH(PARCELAS[[#This Row],[NOME]],GERAL[NOME],0)),"-")</f>
        <v>42</v>
      </c>
      <c r="K2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8500</v>
      </c>
      <c r="L26" t="str" s="12">
        <f>IF(OR(ISBLANK(PARCELAS[[#This Row],[DATA PAGAMENTO]]),DAY(PARCELAS[[#This Row],[DATA PAGAMENTO]])=0),"",TEXT(DAY(PARCELAS[[#This Row],[DATA PAGAMENTO]]),"00"))</f>
        <v>11</v>
      </c>
      <c r="M26" t="str" s="13">
        <f>IF(ISBLANK(PARCELAS[[#This Row],[DATA PAGAMENTO]]),"",INDEX(MESES[MÊS],MATCH(MONTH(PARCELAS[[#This Row],[DATA PAGAMENTO]]),MESES[N],0)))</f>
        <v>maio</v>
      </c>
      <c r="N26" s="12">
        <f>IF(OR(ISBLANK(PARCELAS[[#This Row],[DATA PAGAMENTO]]),YEAR(PARCELAS[[#This Row],[DATA PAGAMENTO]])=1900),"",YEAR(PARCELAS[[#This Row],[DATA PAGAMENTO]]))</f>
        <v>2026</v>
      </c>
      <c r="O26" t="s">
        <v>43</v>
      </c>
    </row>
    <row r="27" spans="1:18">
      <c r="A27" t="s" s="8">
        <v>17</v>
      </c>
      <c r="B27" t="str" s="5">
        <f>IFERROR(INDEX(GERAL[CPF],MATCH(PARCELAS[[#This Row],[NOME]],GERAL[NOME],0)),"-")</f>
        <v>064.142.434-50</v>
      </c>
      <c r="C27" s="16">
        <f>COUNTIF(PARCELAS[[#Headers],[NOME]]:PARCELAS[[#This Row],[NOME]],PARCELAS[[#This Row],[NOME]])</f>
        <v>9</v>
      </c>
      <c r="D27" t="s" s="8">
        <v>3</v>
      </c>
      <c r="E27" s="10">
        <v>1000</v>
      </c>
      <c r="F27" s="9">
        <v>46153</v>
      </c>
      <c r="G27" s="9">
        <v>46153</v>
      </c>
      <c r="H27" t="s" s="11">
        <v>11</v>
      </c>
      <c r="I27" t="str" s="12">
        <f>IFERROR(INDEX(GERAL[PIX],MATCH(PARCELAS[[#This Row],[NOME]],GERAL[NOME],0)),"-")</f>
        <v>064.142.434-50</v>
      </c>
      <c r="J27" t="s">
        <f>IFERROR(INDEX(GERAL[BANCO],MATCH(PARCELAS[[#This Row],[NOME]],GERAL[NOME],0)),"-")</f>
        <v>45</v>
      </c>
      <c r="K2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8500</v>
      </c>
      <c r="L27" t="str" s="12">
        <f>IF(OR(ISBLANK(PARCELAS[[#This Row],[DATA PAGAMENTO]]),DAY(PARCELAS[[#This Row],[DATA PAGAMENTO]])=0),"",TEXT(DAY(PARCELAS[[#This Row],[DATA PAGAMENTO]]),"00"))</f>
        <v>11</v>
      </c>
      <c r="M27" t="str" s="13">
        <f>IF(ISBLANK(PARCELAS[[#This Row],[DATA PAGAMENTO]]),"",INDEX(MESES[MÊS],MATCH(MONTH(PARCELAS[[#This Row],[DATA PAGAMENTO]]),MESES[N],0)))</f>
        <v>maio</v>
      </c>
      <c r="N27" s="12">
        <f>IF(OR(ISBLANK(PARCELAS[[#This Row],[DATA PAGAMENTO]]),YEAR(PARCELAS[[#This Row],[DATA PAGAMENTO]])=1900),"",YEAR(PARCELAS[[#This Row],[DATA PAGAMENTO]]))</f>
        <v>2026</v>
      </c>
      <c r="O27" t="s" s="15">
        <v>46</v>
      </c>
    </row>
    <row r="28" spans="1:18">
      <c r="A28" t="s" s="8">
        <v>23</v>
      </c>
      <c r="B28" t="str" s="5">
        <f>IFERROR(INDEX(GERAL[CPF],MATCH(PARCELAS[[#This Row],[NOME]],GERAL[NOME],0)),"-")</f>
        <v>341.267.018-93</v>
      </c>
      <c r="C28" s="16">
        <f>COUNTIF(PARCELAS[[#Headers],[NOME]]:PARCELAS[[#This Row],[NOME]],PARCELAS[[#This Row],[NOME]])</f>
        <v>9</v>
      </c>
      <c r="D28" t="s" s="8">
        <v>3</v>
      </c>
      <c r="E28" s="10">
        <v>1000</v>
      </c>
      <c r="F28" s="9">
        <v>46153</v>
      </c>
      <c r="G28" s="9">
        <v>46153</v>
      </c>
      <c r="H28" t="s" s="11">
        <v>11</v>
      </c>
      <c r="I28" t="str" s="12">
        <f>IFERROR(INDEX(GERAL[PIX],MATCH(PARCELAS[[#This Row],[NOME]],GERAL[NOME],0)),"-")</f>
        <v>(82)99929-1488</v>
      </c>
      <c r="J28" t="s">
        <f>IFERROR(INDEX(GERAL[BANCO],MATCH(PARCELAS[[#This Row],[NOME]],GERAL[NOME],0)),"-")</f>
        <v>42</v>
      </c>
      <c r="K2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8500</v>
      </c>
      <c r="L28" t="str" s="12">
        <f>IF(OR(ISBLANK(PARCELAS[[#This Row],[DATA PAGAMENTO]]),DAY(PARCELAS[[#This Row],[DATA PAGAMENTO]])=0),"",TEXT(DAY(PARCELAS[[#This Row],[DATA PAGAMENTO]]),"00"))</f>
        <v>11</v>
      </c>
      <c r="M28" t="str" s="13">
        <f>IF(ISBLANK(PARCELAS[[#This Row],[DATA PAGAMENTO]]),"",INDEX(MESES[MÊS],MATCH(MONTH(PARCELAS[[#This Row],[DATA PAGAMENTO]]),MESES[N],0)))</f>
        <v>maio</v>
      </c>
      <c r="N28" s="12">
        <f>IF(OR(ISBLANK(PARCELAS[[#This Row],[DATA PAGAMENTO]]),YEAR(PARCELAS[[#This Row],[DATA PAGAMENTO]])=1900),"",YEAR(PARCELAS[[#This Row],[DATA PAGAMENTO]]))</f>
        <v>2026</v>
      </c>
      <c r="O28" t="s" s="15">
        <v>46</v>
      </c>
    </row>
    <row r="29" spans="1:18">
      <c r="A29" t="s" s="8">
        <v>12</v>
      </c>
      <c r="B29" t="str" s="5">
        <f>IFERROR(INDEX(GERAL[CPF],MATCH(PARCELAS[[#This Row],[NOME]],GERAL[NOME],0)),"-")</f>
        <v>046.931.264-54</v>
      </c>
      <c r="C29" s="16">
        <f>COUNTIF(PARCELAS[[#Headers],[NOME]]:PARCELAS[[#This Row],[NOME]],PARCELAS[[#This Row],[NOME]])</f>
        <v>10</v>
      </c>
      <c r="D29" t="s" s="8">
        <v>3</v>
      </c>
      <c r="E29" s="10">
        <v>1000</v>
      </c>
      <c r="F29" s="9">
        <v>46183</v>
      </c>
      <c r="G29" s="9">
        <v>46183</v>
      </c>
      <c r="H29" t="s" s="11">
        <v>11</v>
      </c>
      <c r="I29" t="str" s="12">
        <f>IFERROR(INDEX(GERAL[PIX],MATCH(PARCELAS[[#This Row],[NOME]],GERAL[NOME],0)),"-")</f>
        <v>046.931.264-54</v>
      </c>
      <c r="J29" t="s">
        <f>IFERROR(INDEX(GERAL[BANCO],MATCH(PARCELAS[[#This Row],[NOME]],GERAL[NOME],0)),"-")</f>
        <v>42</v>
      </c>
      <c r="K2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7500</v>
      </c>
      <c r="L29" t="str" s="12">
        <f>IF(OR(ISBLANK(PARCELAS[[#This Row],[DATA PAGAMENTO]]),DAY(PARCELAS[[#This Row],[DATA PAGAMENTO]])=0),"",TEXT(DAY(PARCELAS[[#This Row],[DATA PAGAMENTO]]),"00"))</f>
        <v>10</v>
      </c>
      <c r="M29" t="str" s="13">
        <f>IF(ISBLANK(PARCELAS[[#This Row],[DATA PAGAMENTO]]),"",INDEX(MESES[MÊS],MATCH(MONTH(PARCELAS[[#This Row],[DATA PAGAMENTO]]),MESES[N],0)))</f>
        <v>junho</v>
      </c>
      <c r="N29" s="12">
        <f>IF(OR(ISBLANK(PARCELAS[[#This Row],[DATA PAGAMENTO]]),YEAR(PARCELAS[[#This Row],[DATA PAGAMENTO]])=1900),"",YEAR(PARCELAS[[#This Row],[DATA PAGAMENTO]]))</f>
        <v>2026</v>
      </c>
      <c r="O29" t="s">
        <v>43</v>
      </c>
    </row>
    <row r="30" spans="1:18">
      <c r="A30" t="s" s="8">
        <v>17</v>
      </c>
      <c r="B30" t="str" s="5">
        <f>IFERROR(INDEX(GERAL[CPF],MATCH(PARCELAS[[#This Row],[NOME]],GERAL[NOME],0)),"-")</f>
        <v>064.142.434-50</v>
      </c>
      <c r="C30" s="16">
        <f>COUNTIF(PARCELAS[[#Headers],[NOME]]:PARCELAS[[#This Row],[NOME]],PARCELAS[[#This Row],[NOME]])</f>
        <v>10</v>
      </c>
      <c r="D30" t="s" s="8">
        <v>3</v>
      </c>
      <c r="E30" s="10">
        <v>1000</v>
      </c>
      <c r="F30" s="9">
        <v>46183</v>
      </c>
      <c r="G30" s="9">
        <v>46183</v>
      </c>
      <c r="H30" t="s" s="11">
        <v>11</v>
      </c>
      <c r="I30" t="str" s="12">
        <f>IFERROR(INDEX(GERAL[PIX],MATCH(PARCELAS[[#This Row],[NOME]],GERAL[NOME],0)),"-")</f>
        <v>064.142.434-50</v>
      </c>
      <c r="J30" t="s">
        <f>IFERROR(INDEX(GERAL[BANCO],MATCH(PARCELAS[[#This Row],[NOME]],GERAL[NOME],0)),"-")</f>
        <v>45</v>
      </c>
      <c r="K3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7500</v>
      </c>
      <c r="L30" t="str" s="12">
        <f>IF(OR(ISBLANK(PARCELAS[[#This Row],[DATA PAGAMENTO]]),DAY(PARCELAS[[#This Row],[DATA PAGAMENTO]])=0),"",TEXT(DAY(PARCELAS[[#This Row],[DATA PAGAMENTO]]),"00"))</f>
        <v>10</v>
      </c>
      <c r="M30" t="str" s="13">
        <f>IF(ISBLANK(PARCELAS[[#This Row],[DATA PAGAMENTO]]),"",INDEX(MESES[MÊS],MATCH(MONTH(PARCELAS[[#This Row],[DATA PAGAMENTO]]),MESES[N],0)))</f>
        <v>junho</v>
      </c>
      <c r="N30" s="12">
        <f>IF(OR(ISBLANK(PARCELAS[[#This Row],[DATA PAGAMENTO]]),YEAR(PARCELAS[[#This Row],[DATA PAGAMENTO]])=1900),"",YEAR(PARCELAS[[#This Row],[DATA PAGAMENTO]]))</f>
        <v>2026</v>
      </c>
      <c r="O30" t="s" s="15">
        <v>46</v>
      </c>
    </row>
    <row r="31" spans="1:18">
      <c r="A31" t="s" s="8">
        <v>23</v>
      </c>
      <c r="B31" t="str" s="5">
        <f>IFERROR(INDEX(GERAL[CPF],MATCH(PARCELAS[[#This Row],[NOME]],GERAL[NOME],0)),"-")</f>
        <v>341.267.018-93</v>
      </c>
      <c r="C31" s="16">
        <f>COUNTIF(PARCELAS[[#Headers],[NOME]]:PARCELAS[[#This Row],[NOME]],PARCELAS[[#This Row],[NOME]])</f>
        <v>10</v>
      </c>
      <c r="D31" t="s" s="8">
        <v>3</v>
      </c>
      <c r="E31" s="10">
        <v>1000</v>
      </c>
      <c r="F31" s="9">
        <v>46183</v>
      </c>
      <c r="G31" s="9">
        <v>46183</v>
      </c>
      <c r="H31" t="s" s="11">
        <v>11</v>
      </c>
      <c r="I31" t="str" s="12">
        <f>IFERROR(INDEX(GERAL[PIX],MATCH(PARCELAS[[#This Row],[NOME]],GERAL[NOME],0)),"-")</f>
        <v>(82)99929-1488</v>
      </c>
      <c r="J31" t="s">
        <f>IFERROR(INDEX(GERAL[BANCO],MATCH(PARCELAS[[#This Row],[NOME]],GERAL[NOME],0)),"-")</f>
        <v>42</v>
      </c>
      <c r="K3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7500</v>
      </c>
      <c r="L31" t="str" s="12">
        <f>IF(OR(ISBLANK(PARCELAS[[#This Row],[DATA PAGAMENTO]]),DAY(PARCELAS[[#This Row],[DATA PAGAMENTO]])=0),"",TEXT(DAY(PARCELAS[[#This Row],[DATA PAGAMENTO]]),"00"))</f>
        <v>10</v>
      </c>
      <c r="M31" t="str" s="13">
        <f>IF(ISBLANK(PARCELAS[[#This Row],[DATA PAGAMENTO]]),"",INDEX(MESES[MÊS],MATCH(MONTH(PARCELAS[[#This Row],[DATA PAGAMENTO]]),MESES[N],0)))</f>
        <v>junho</v>
      </c>
      <c r="N31" s="12">
        <f>IF(OR(ISBLANK(PARCELAS[[#This Row],[DATA PAGAMENTO]]),YEAR(PARCELAS[[#This Row],[DATA PAGAMENTO]])=1900),"",YEAR(PARCELAS[[#This Row],[DATA PAGAMENTO]]))</f>
        <v>2026</v>
      </c>
      <c r="O31" t="s" s="15">
        <v>46</v>
      </c>
    </row>
    <row r="32" spans="1:18">
      <c r="A32" t="s" s="8">
        <v>12</v>
      </c>
      <c r="B32" t="str" s="5">
        <f>IFERROR(INDEX(GERAL[CPF],MATCH(PARCELAS[[#This Row],[NOME]],GERAL[NOME],0)),"-")</f>
        <v>046.931.264-54</v>
      </c>
      <c r="C32" s="16">
        <f>COUNTIF(PARCELAS[[#Headers],[NOME]]:PARCELAS[[#This Row],[NOME]],PARCELAS[[#This Row],[NOME]])</f>
        <v>11</v>
      </c>
      <c r="D32" t="s" s="8">
        <v>3</v>
      </c>
      <c r="E32" s="10">
        <v>1000</v>
      </c>
      <c r="F32" s="9">
        <v>46214</v>
      </c>
      <c r="G32" s="9">
        <v>46214</v>
      </c>
      <c r="H32" t="s" s="11">
        <v>11</v>
      </c>
      <c r="I32" t="str" s="12">
        <f>IFERROR(INDEX(GERAL[PIX],MATCH(PARCELAS[[#This Row],[NOME]],GERAL[NOME],0)),"-")</f>
        <v>046.931.264-54</v>
      </c>
      <c r="J32" t="s">
        <f>IFERROR(INDEX(GERAL[BANCO],MATCH(PARCELAS[[#This Row],[NOME]],GERAL[NOME],0)),"-")</f>
        <v>42</v>
      </c>
      <c r="K3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6500</v>
      </c>
      <c r="L32" t="str" s="12">
        <f>IF(OR(ISBLANK(PARCELAS[[#This Row],[DATA PAGAMENTO]]),DAY(PARCELAS[[#This Row],[DATA PAGAMENTO]])=0),"",TEXT(DAY(PARCELAS[[#This Row],[DATA PAGAMENTO]]),"00"))</f>
        <v>11</v>
      </c>
      <c r="M32" t="str" s="13">
        <f>IF(ISBLANK(PARCELAS[[#This Row],[DATA PAGAMENTO]]),"",INDEX(MESES[MÊS],MATCH(MONTH(PARCELAS[[#This Row],[DATA PAGAMENTO]]),MESES[N],0)))</f>
        <v>julho</v>
      </c>
      <c r="N32" s="12">
        <f>IF(OR(ISBLANK(PARCELAS[[#This Row],[DATA PAGAMENTO]]),YEAR(PARCELAS[[#This Row],[DATA PAGAMENTO]])=1900),"",YEAR(PARCELAS[[#This Row],[DATA PAGAMENTO]]))</f>
        <v>2026</v>
      </c>
      <c r="O32" t="s">
        <v>43</v>
      </c>
    </row>
    <row r="33" spans="1:18">
      <c r="A33" t="s" s="8">
        <v>17</v>
      </c>
      <c r="B33" t="str" s="5">
        <f>IFERROR(INDEX(GERAL[CPF],MATCH(PARCELAS[[#This Row],[NOME]],GERAL[NOME],0)),"-")</f>
        <v>064.142.434-50</v>
      </c>
      <c r="C33" s="16">
        <f>COUNTIF(PARCELAS[[#Headers],[NOME]]:PARCELAS[[#This Row],[NOME]],PARCELAS[[#This Row],[NOME]])</f>
        <v>11</v>
      </c>
      <c r="D33" t="s" s="8">
        <v>3</v>
      </c>
      <c r="E33" s="10">
        <v>1000</v>
      </c>
      <c r="F33" s="9">
        <v>46214</v>
      </c>
      <c r="G33" s="9">
        <v>46214</v>
      </c>
      <c r="H33" t="s" s="11">
        <v>11</v>
      </c>
      <c r="I33" t="str" s="12">
        <f>IFERROR(INDEX(GERAL[PIX],MATCH(PARCELAS[[#This Row],[NOME]],GERAL[NOME],0)),"-")</f>
        <v>064.142.434-50</v>
      </c>
      <c r="J33" t="s">
        <f>IFERROR(INDEX(GERAL[BANCO],MATCH(PARCELAS[[#This Row],[NOME]],GERAL[NOME],0)),"-")</f>
        <v>45</v>
      </c>
      <c r="K3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6500</v>
      </c>
      <c r="L33" t="str" s="12">
        <f>IF(OR(ISBLANK(PARCELAS[[#This Row],[DATA PAGAMENTO]]),DAY(PARCELAS[[#This Row],[DATA PAGAMENTO]])=0),"",TEXT(DAY(PARCELAS[[#This Row],[DATA PAGAMENTO]]),"00"))</f>
        <v>11</v>
      </c>
      <c r="M33" t="str" s="13">
        <f>IF(ISBLANK(PARCELAS[[#This Row],[DATA PAGAMENTO]]),"",INDEX(MESES[MÊS],MATCH(MONTH(PARCELAS[[#This Row],[DATA PAGAMENTO]]),MESES[N],0)))</f>
        <v>julho</v>
      </c>
      <c r="N33" s="12">
        <f>IF(OR(ISBLANK(PARCELAS[[#This Row],[DATA PAGAMENTO]]),YEAR(PARCELAS[[#This Row],[DATA PAGAMENTO]])=1900),"",YEAR(PARCELAS[[#This Row],[DATA PAGAMENTO]]))</f>
        <v>2026</v>
      </c>
      <c r="O33" t="s" s="15">
        <v>46</v>
      </c>
    </row>
    <row r="34" spans="1:18">
      <c r="A34" t="s" s="8">
        <v>23</v>
      </c>
      <c r="B34" t="str" s="5">
        <f>IFERROR(INDEX(GERAL[CPF],MATCH(PARCELAS[[#This Row],[NOME]],GERAL[NOME],0)),"-")</f>
        <v>341.267.018-93</v>
      </c>
      <c r="C34" s="16">
        <f>COUNTIF(PARCELAS[[#Headers],[NOME]]:PARCELAS[[#This Row],[NOME]],PARCELAS[[#This Row],[NOME]])</f>
        <v>11</v>
      </c>
      <c r="D34" t="s" s="8">
        <v>3</v>
      </c>
      <c r="E34" s="10">
        <v>1000</v>
      </c>
      <c r="F34" s="9">
        <v>46214</v>
      </c>
      <c r="G34" s="9">
        <v>46214</v>
      </c>
      <c r="H34" t="s" s="11">
        <v>11</v>
      </c>
      <c r="I34" t="str" s="12">
        <f>IFERROR(INDEX(GERAL[PIX],MATCH(PARCELAS[[#This Row],[NOME]],GERAL[NOME],0)),"-")</f>
        <v>(82)99929-1488</v>
      </c>
      <c r="J34" t="s">
        <f>IFERROR(INDEX(GERAL[BANCO],MATCH(PARCELAS[[#This Row],[NOME]],GERAL[NOME],0)),"-")</f>
        <v>42</v>
      </c>
      <c r="K3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6500</v>
      </c>
      <c r="L34" t="str" s="12">
        <f>IF(OR(ISBLANK(PARCELAS[[#This Row],[DATA PAGAMENTO]]),DAY(PARCELAS[[#This Row],[DATA PAGAMENTO]])=0),"",TEXT(DAY(PARCELAS[[#This Row],[DATA PAGAMENTO]]),"00"))</f>
        <v>11</v>
      </c>
      <c r="M34" t="str" s="13">
        <f>IF(ISBLANK(PARCELAS[[#This Row],[DATA PAGAMENTO]]),"",INDEX(MESES[MÊS],MATCH(MONTH(PARCELAS[[#This Row],[DATA PAGAMENTO]]),MESES[N],0)))</f>
        <v>julho</v>
      </c>
      <c r="N34" s="12">
        <f>IF(OR(ISBLANK(PARCELAS[[#This Row],[DATA PAGAMENTO]]),YEAR(PARCELAS[[#This Row],[DATA PAGAMENTO]])=1900),"",YEAR(PARCELAS[[#This Row],[DATA PAGAMENTO]]))</f>
        <v>2026</v>
      </c>
      <c r="O34" t="s" s="15">
        <v>46</v>
      </c>
    </row>
    <row r="35" spans="1:18">
      <c r="A35" t="s" s="8">
        <v>12</v>
      </c>
      <c r="B35" t="str" s="5">
        <f>IFERROR(INDEX(GERAL[CPF],MATCH(PARCELAS[[#This Row],[NOME]],GERAL[NOME],0)),"-")</f>
        <v>046.931.264-54</v>
      </c>
      <c r="C35" s="16">
        <f>COUNTIF(PARCELAS[[#Headers],[NOME]]:PARCELAS[[#This Row],[NOME]],PARCELAS[[#This Row],[NOME]])</f>
        <v>12</v>
      </c>
      <c r="D35" t="s" s="8">
        <v>3</v>
      </c>
      <c r="E35" s="10">
        <v>1000</v>
      </c>
      <c r="F35" s="9">
        <v>46244</v>
      </c>
      <c r="G35" s="9">
        <v>46244</v>
      </c>
      <c r="H35" t="s" s="11">
        <v>11</v>
      </c>
      <c r="I35" t="str" s="12">
        <f>IFERROR(INDEX(GERAL[PIX],MATCH(PARCELAS[[#This Row],[NOME]],GERAL[NOME],0)),"-")</f>
        <v>046.931.264-54</v>
      </c>
      <c r="J35" t="s">
        <f>IFERROR(INDEX(GERAL[BANCO],MATCH(PARCELAS[[#This Row],[NOME]],GERAL[NOME],0)),"-")</f>
        <v>42</v>
      </c>
      <c r="K3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5500</v>
      </c>
      <c r="L35" t="str" s="12">
        <f>IF(OR(ISBLANK(PARCELAS[[#This Row],[DATA PAGAMENTO]]),DAY(PARCELAS[[#This Row],[DATA PAGAMENTO]])=0),"",TEXT(DAY(PARCELAS[[#This Row],[DATA PAGAMENTO]]),"00"))</f>
        <v>10</v>
      </c>
      <c r="M35" t="str" s="13">
        <f>IF(ISBLANK(PARCELAS[[#This Row],[DATA PAGAMENTO]]),"",INDEX(MESES[MÊS],MATCH(MONTH(PARCELAS[[#This Row],[DATA PAGAMENTO]]),MESES[N],0)))</f>
        <v>agosto</v>
      </c>
      <c r="N35" s="12">
        <f>IF(OR(ISBLANK(PARCELAS[[#This Row],[DATA PAGAMENTO]]),YEAR(PARCELAS[[#This Row],[DATA PAGAMENTO]])=1900),"",YEAR(PARCELAS[[#This Row],[DATA PAGAMENTO]]))</f>
        <v>2026</v>
      </c>
      <c r="O35" t="s">
        <v>43</v>
      </c>
    </row>
    <row r="36" spans="1:18">
      <c r="A36" t="s" s="8">
        <v>17</v>
      </c>
      <c r="B36" t="str" s="5">
        <f>IFERROR(INDEX(GERAL[CPF],MATCH(PARCELAS[[#This Row],[NOME]],GERAL[NOME],0)),"-")</f>
        <v>064.142.434-50</v>
      </c>
      <c r="C36" s="16">
        <f>COUNTIF(PARCELAS[[#Headers],[NOME]]:PARCELAS[[#This Row],[NOME]],PARCELAS[[#This Row],[NOME]])</f>
        <v>12</v>
      </c>
      <c r="D36" t="s" s="8">
        <v>3</v>
      </c>
      <c r="E36" s="10">
        <v>1000</v>
      </c>
      <c r="F36" s="9">
        <v>46244</v>
      </c>
      <c r="G36" s="9">
        <v>46244</v>
      </c>
      <c r="H36" t="s" s="11">
        <v>11</v>
      </c>
      <c r="I36" t="str" s="12">
        <f>IFERROR(INDEX(GERAL[PIX],MATCH(PARCELAS[[#This Row],[NOME]],GERAL[NOME],0)),"-")</f>
        <v>064.142.434-50</v>
      </c>
      <c r="J36" t="s">
        <f>IFERROR(INDEX(GERAL[BANCO],MATCH(PARCELAS[[#This Row],[NOME]],GERAL[NOME],0)),"-")</f>
        <v>45</v>
      </c>
      <c r="K3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5500</v>
      </c>
      <c r="L36" t="str" s="12">
        <f>IF(OR(ISBLANK(PARCELAS[[#This Row],[DATA PAGAMENTO]]),DAY(PARCELAS[[#This Row],[DATA PAGAMENTO]])=0),"",TEXT(DAY(PARCELAS[[#This Row],[DATA PAGAMENTO]]),"00"))</f>
        <v>10</v>
      </c>
      <c r="M36" t="str" s="13">
        <f>IF(ISBLANK(PARCELAS[[#This Row],[DATA PAGAMENTO]]),"",INDEX(MESES[MÊS],MATCH(MONTH(PARCELAS[[#This Row],[DATA PAGAMENTO]]),MESES[N],0)))</f>
        <v>agosto</v>
      </c>
      <c r="N36" s="12">
        <f>IF(OR(ISBLANK(PARCELAS[[#This Row],[DATA PAGAMENTO]]),YEAR(PARCELAS[[#This Row],[DATA PAGAMENTO]])=1900),"",YEAR(PARCELAS[[#This Row],[DATA PAGAMENTO]]))</f>
        <v>2026</v>
      </c>
      <c r="O36" t="s" s="15">
        <v>46</v>
      </c>
    </row>
    <row r="37" spans="1:18">
      <c r="A37" t="s" s="8">
        <v>23</v>
      </c>
      <c r="B37" t="str" s="5">
        <f>IFERROR(INDEX(GERAL[CPF],MATCH(PARCELAS[[#This Row],[NOME]],GERAL[NOME],0)),"-")</f>
        <v>341.267.018-93</v>
      </c>
      <c r="C37" s="16">
        <f>COUNTIF(PARCELAS[[#Headers],[NOME]]:PARCELAS[[#This Row],[NOME]],PARCELAS[[#This Row],[NOME]])</f>
        <v>12</v>
      </c>
      <c r="D37" t="s" s="8">
        <v>3</v>
      </c>
      <c r="E37" s="10">
        <v>1000</v>
      </c>
      <c r="F37" s="9">
        <v>46244</v>
      </c>
      <c r="G37" s="9">
        <v>46244</v>
      </c>
      <c r="H37" t="s" s="11">
        <v>11</v>
      </c>
      <c r="I37" t="str" s="12">
        <f>IFERROR(INDEX(GERAL[PIX],MATCH(PARCELAS[[#This Row],[NOME]],GERAL[NOME],0)),"-")</f>
        <v>(82)99929-1488</v>
      </c>
      <c r="J37" t="s">
        <f>IFERROR(INDEX(GERAL[BANCO],MATCH(PARCELAS[[#This Row],[NOME]],GERAL[NOME],0)),"-")</f>
        <v>42</v>
      </c>
      <c r="K37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5500</v>
      </c>
      <c r="L37" t="str" s="12">
        <f>IF(OR(ISBLANK(PARCELAS[[#This Row],[DATA PAGAMENTO]]),DAY(PARCELAS[[#This Row],[DATA PAGAMENTO]])=0),"",TEXT(DAY(PARCELAS[[#This Row],[DATA PAGAMENTO]]),"00"))</f>
        <v>10</v>
      </c>
      <c r="M37" t="str" s="13">
        <f>IF(ISBLANK(PARCELAS[[#This Row],[DATA PAGAMENTO]]),"",INDEX(MESES[MÊS],MATCH(MONTH(PARCELAS[[#This Row],[DATA PAGAMENTO]]),MESES[N],0)))</f>
        <v>agosto</v>
      </c>
      <c r="N37" s="12">
        <f>IF(OR(ISBLANK(PARCELAS[[#This Row],[DATA PAGAMENTO]]),YEAR(PARCELAS[[#This Row],[DATA PAGAMENTO]])=1900),"",YEAR(PARCELAS[[#This Row],[DATA PAGAMENTO]]))</f>
        <v>2026</v>
      </c>
      <c r="O37" t="s" s="15">
        <v>46</v>
      </c>
    </row>
    <row r="38" spans="1:18">
      <c r="A38" t="s" s="8">
        <v>12</v>
      </c>
      <c r="B38" t="str" s="5">
        <f>IFERROR(INDEX(GERAL[CPF],MATCH(PARCELAS[[#This Row],[NOME]],GERAL[NOME],0)),"-")</f>
        <v>046.931.264-54</v>
      </c>
      <c r="C38" s="16">
        <f>COUNTIF(PARCELAS[[#Headers],[NOME]]:PARCELAS[[#This Row],[NOME]],PARCELAS[[#This Row],[NOME]])</f>
        <v>13</v>
      </c>
      <c r="D38" t="s" s="8">
        <v>3</v>
      </c>
      <c r="E38" s="10">
        <v>1000</v>
      </c>
      <c r="F38" s="9">
        <v>46276</v>
      </c>
      <c r="G38" s="9">
        <v>46276</v>
      </c>
      <c r="H38" t="s" s="11">
        <v>11</v>
      </c>
      <c r="I38" t="str" s="12">
        <f>IFERROR(INDEX(GERAL[PIX],MATCH(PARCELAS[[#This Row],[NOME]],GERAL[NOME],0)),"-")</f>
        <v>046.931.264-54</v>
      </c>
      <c r="J38" t="s">
        <f>IFERROR(INDEX(GERAL[BANCO],MATCH(PARCELAS[[#This Row],[NOME]],GERAL[NOME],0)),"-")</f>
        <v>42</v>
      </c>
      <c r="K38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38" t="str" s="12">
        <f>IF(OR(ISBLANK(PARCELAS[[#This Row],[DATA PAGAMENTO]]),DAY(PARCELAS[[#This Row],[DATA PAGAMENTO]])=0),"",TEXT(DAY(PARCELAS[[#This Row],[DATA PAGAMENTO]]),"00"))</f>
        <v>11</v>
      </c>
      <c r="M38" t="str" s="13">
        <f>IF(ISBLANK(PARCELAS[[#This Row],[DATA PAGAMENTO]]),"",INDEX(MESES[MÊS],MATCH(MONTH(PARCELAS[[#This Row],[DATA PAGAMENTO]]),MESES[N],0)))</f>
        <v>setembro</v>
      </c>
      <c r="N38" s="12">
        <f>IF(OR(ISBLANK(PARCELAS[[#This Row],[DATA PAGAMENTO]]),YEAR(PARCELAS[[#This Row],[DATA PAGAMENTO]])=1900),"",YEAR(PARCELAS[[#This Row],[DATA PAGAMENTO]]))</f>
        <v>2026</v>
      </c>
      <c r="O38" t="s">
        <v>43</v>
      </c>
    </row>
    <row r="39" spans="1:18">
      <c r="A39" t="s" s="8">
        <v>17</v>
      </c>
      <c r="B39" t="str" s="5">
        <f>IFERROR(INDEX(GERAL[CPF],MATCH(PARCELAS[[#This Row],[NOME]],GERAL[NOME],0)),"-")</f>
        <v>064.142.434-50</v>
      </c>
      <c r="C39" s="16">
        <f>COUNTIF(PARCELAS[[#Headers],[NOME]]:PARCELAS[[#This Row],[NOME]],PARCELAS[[#This Row],[NOME]])</f>
        <v>13</v>
      </c>
      <c r="D39" t="s" s="8">
        <v>3</v>
      </c>
      <c r="E39" s="10">
        <v>1000</v>
      </c>
      <c r="F39" s="9">
        <v>46276</v>
      </c>
      <c r="G39" s="9">
        <v>46276</v>
      </c>
      <c r="H39" t="s" s="11">
        <v>11</v>
      </c>
      <c r="I39" t="str" s="12">
        <f>IFERROR(INDEX(GERAL[PIX],MATCH(PARCELAS[[#This Row],[NOME]],GERAL[NOME],0)),"-")</f>
        <v>064.142.434-50</v>
      </c>
      <c r="J39" t="s">
        <f>IFERROR(INDEX(GERAL[BANCO],MATCH(PARCELAS[[#This Row],[NOME]],GERAL[NOME],0)),"-")</f>
        <v>45</v>
      </c>
      <c r="K39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39" t="str" s="12">
        <f>IF(OR(ISBLANK(PARCELAS[[#This Row],[DATA PAGAMENTO]]),DAY(PARCELAS[[#This Row],[DATA PAGAMENTO]])=0),"",TEXT(DAY(PARCELAS[[#This Row],[DATA PAGAMENTO]]),"00"))</f>
        <v>11</v>
      </c>
      <c r="M39" t="str" s="13">
        <f>IF(ISBLANK(PARCELAS[[#This Row],[DATA PAGAMENTO]]),"",INDEX(MESES[MÊS],MATCH(MONTH(PARCELAS[[#This Row],[DATA PAGAMENTO]]),MESES[N],0)))</f>
        <v>setembro</v>
      </c>
      <c r="N39" s="12">
        <f>IF(OR(ISBLANK(PARCELAS[[#This Row],[DATA PAGAMENTO]]),YEAR(PARCELAS[[#This Row],[DATA PAGAMENTO]])=1900),"",YEAR(PARCELAS[[#This Row],[DATA PAGAMENTO]]))</f>
        <v>2026</v>
      </c>
      <c r="O39" t="s" s="15">
        <v>46</v>
      </c>
    </row>
    <row r="40" spans="1:18">
      <c r="A40" t="s" s="8">
        <v>23</v>
      </c>
      <c r="B40" t="str" s="5">
        <f>IFERROR(INDEX(GERAL[CPF],MATCH(PARCELAS[[#This Row],[NOME]],GERAL[NOME],0)),"-")</f>
        <v>341.267.018-93</v>
      </c>
      <c r="C40" s="16">
        <f>COUNTIF(PARCELAS[[#Headers],[NOME]]:PARCELAS[[#This Row],[NOME]],PARCELAS[[#This Row],[NOME]])</f>
        <v>13</v>
      </c>
      <c r="D40" t="s" s="8">
        <v>3</v>
      </c>
      <c r="E40" s="10">
        <v>1000</v>
      </c>
      <c r="F40" s="9">
        <v>46276</v>
      </c>
      <c r="G40" s="9">
        <v>46276</v>
      </c>
      <c r="H40" t="s" s="11">
        <v>11</v>
      </c>
      <c r="I40" t="str" s="12">
        <f>IFERROR(INDEX(GERAL[PIX],MATCH(PARCELAS[[#This Row],[NOME]],GERAL[NOME],0)),"-")</f>
        <v>(82)99929-1488</v>
      </c>
      <c r="J40" t="s">
        <f>IFERROR(INDEX(GERAL[BANCO],MATCH(PARCELAS[[#This Row],[NOME]],GERAL[NOME],0)),"-")</f>
        <v>42</v>
      </c>
      <c r="K40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0" t="str" s="12">
        <f>IF(OR(ISBLANK(PARCELAS[[#This Row],[DATA PAGAMENTO]]),DAY(PARCELAS[[#This Row],[DATA PAGAMENTO]])=0),"",TEXT(DAY(PARCELAS[[#This Row],[DATA PAGAMENTO]]),"00"))</f>
        <v>11</v>
      </c>
      <c r="M40" t="str" s="13">
        <f>IF(ISBLANK(PARCELAS[[#This Row],[DATA PAGAMENTO]]),"",INDEX(MESES[MÊS],MATCH(MONTH(PARCELAS[[#This Row],[DATA PAGAMENTO]]),MESES[N],0)))</f>
        <v>setembro</v>
      </c>
      <c r="N40" s="12">
        <f>IF(OR(ISBLANK(PARCELAS[[#This Row],[DATA PAGAMENTO]]),YEAR(PARCELAS[[#This Row],[DATA PAGAMENTO]])=1900),"",YEAR(PARCELAS[[#This Row],[DATA PAGAMENTO]]))</f>
        <v>2026</v>
      </c>
      <c r="O40" t="s" s="15">
        <v>46</v>
      </c>
    </row>
    <row r="41" spans="1:18">
      <c r="A41" t="s" s="8">
        <v>12</v>
      </c>
      <c r="B41" t="str" s="5">
        <f>IFERROR(INDEX(GERAL[CPF],MATCH(PARCELAS[[#This Row],[NOME]],GERAL[NOME],0)),"-")</f>
        <v>046.931.264-54</v>
      </c>
      <c r="C41" s="16">
        <f>COUNTIF(PARCELAS[[#Headers],[NOME]]:PARCELAS[[#This Row],[NOME]],PARCELAS[[#This Row],[NOME]])</f>
        <v>14</v>
      </c>
      <c r="D41" t="s" s="8">
        <v>62</v>
      </c>
      <c r="E41" s="10">
        <v>1000</v>
      </c>
      <c r="F41" s="9"/>
      <c r="G41" s="9">
        <v>46305</v>
      </c>
      <c r="H41" t="s" s="11">
        <v>11</v>
      </c>
      <c r="I41" t="str" s="12">
        <f>IFERROR(INDEX(GERAL[PIX],MATCH(PARCELAS[[#This Row],[NOME]],GERAL[NOME],0)),"-")</f>
        <v>046.931.264-54</v>
      </c>
      <c r="J41" t="s">
        <f>IFERROR(INDEX(GERAL[BANCO],MATCH(PARCELAS[[#This Row],[NOME]],GERAL[NOME],0)),"-")</f>
        <v>42</v>
      </c>
      <c r="K41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1" t="str" s="12">
        <f>IF(OR(ISBLANK(PARCELAS[[#This Row],[DATA PAGAMENTO]]),DAY(PARCELAS[[#This Row],[DATA PAGAMENTO]])=0),"",TEXT(DAY(PARCELAS[[#This Row],[DATA PAGAMENTO]]),"00"))</f>
      </c>
      <c r="M41" t="str" s="13">
        <f>IF(ISBLANK(PARCELAS[[#This Row],[DATA PAGAMENTO]]),"",INDEX(MESES[MÊS],MATCH(MONTH(PARCELAS[[#This Row],[DATA PAGAMENTO]]),MESES[N],0)))</f>
      </c>
      <c r="N41" s="12">
        <f>IF(OR(ISBLANK(PARCELAS[[#This Row],[DATA PAGAMENTO]]),YEAR(PARCELAS[[#This Row],[DATA PAGAMENTO]])=1900),"",YEAR(PARCELAS[[#This Row],[DATA PAGAMENTO]]))</f>
      </c>
      <c r="O41" t="s">
        <v>43</v>
      </c>
    </row>
    <row r="42" spans="1:18">
      <c r="A42" t="s" s="8">
        <v>17</v>
      </c>
      <c r="B42" t="str" s="5">
        <f>IFERROR(INDEX(GERAL[CPF],MATCH(PARCELAS[[#This Row],[NOME]],GERAL[NOME],0)),"-")</f>
        <v>064.142.434-50</v>
      </c>
      <c r="C42" s="16">
        <f>COUNTIF(PARCELAS[[#Headers],[NOME]]:PARCELAS[[#This Row],[NOME]],PARCELAS[[#This Row],[NOME]])</f>
        <v>14</v>
      </c>
      <c r="D42" t="s" s="8">
        <v>62</v>
      </c>
      <c r="E42" s="10">
        <v>1000</v>
      </c>
      <c r="F42" s="9"/>
      <c r="G42" s="9">
        <v>46305</v>
      </c>
      <c r="H42" t="s" s="11">
        <v>11</v>
      </c>
      <c r="I42" t="str" s="12">
        <f>IFERROR(INDEX(GERAL[PIX],MATCH(PARCELAS[[#This Row],[NOME]],GERAL[NOME],0)),"-")</f>
        <v>064.142.434-50</v>
      </c>
      <c r="J42" t="s">
        <f>IFERROR(INDEX(GERAL[BANCO],MATCH(PARCELAS[[#This Row],[NOME]],GERAL[NOME],0)),"-")</f>
        <v>45</v>
      </c>
      <c r="K42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2" t="str" s="12">
        <f>IF(OR(ISBLANK(PARCELAS[[#This Row],[DATA PAGAMENTO]]),DAY(PARCELAS[[#This Row],[DATA PAGAMENTO]])=0),"",TEXT(DAY(PARCELAS[[#This Row],[DATA PAGAMENTO]]),"00"))</f>
      </c>
      <c r="M42" t="str" s="13">
        <f>IF(ISBLANK(PARCELAS[[#This Row],[DATA PAGAMENTO]]),"",INDEX(MESES[MÊS],MATCH(MONTH(PARCELAS[[#This Row],[DATA PAGAMENTO]]),MESES[N],0)))</f>
      </c>
      <c r="N42" s="12">
        <f>IF(OR(ISBLANK(PARCELAS[[#This Row],[DATA PAGAMENTO]]),YEAR(PARCELAS[[#This Row],[DATA PAGAMENTO]])=1900),"",YEAR(PARCELAS[[#This Row],[DATA PAGAMENTO]]))</f>
      </c>
      <c r="O42" t="s" s="15">
        <v>46</v>
      </c>
    </row>
    <row r="43" spans="1:18">
      <c r="A43" t="s" s="8">
        <v>23</v>
      </c>
      <c r="B43" t="str" s="5">
        <f>IFERROR(INDEX(GERAL[CPF],MATCH(PARCELAS[[#This Row],[NOME]],GERAL[NOME],0)),"-")</f>
        <v>341.267.018-93</v>
      </c>
      <c r="C43" s="16">
        <f>COUNTIF(PARCELAS[[#Headers],[NOME]]:PARCELAS[[#This Row],[NOME]],PARCELAS[[#This Row],[NOME]])</f>
        <v>14</v>
      </c>
      <c r="D43" t="s" s="8">
        <v>62</v>
      </c>
      <c r="E43" s="10">
        <v>1000</v>
      </c>
      <c r="F43" s="9"/>
      <c r="G43" s="9">
        <v>46305</v>
      </c>
      <c r="H43" t="s" s="11">
        <v>11</v>
      </c>
      <c r="I43" t="str" s="12">
        <f>IFERROR(INDEX(GERAL[PIX],MATCH(PARCELAS[[#This Row],[NOME]],GERAL[NOME],0)),"-")</f>
        <v>(82)99929-1488</v>
      </c>
      <c r="J43" t="s">
        <f>IFERROR(INDEX(GERAL[BANCO],MATCH(PARCELAS[[#This Row],[NOME]],GERAL[NOME],0)),"-")</f>
        <v>42</v>
      </c>
      <c r="K43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3" t="str" s="12">
        <f>IF(OR(ISBLANK(PARCELAS[[#This Row],[DATA PAGAMENTO]]),DAY(PARCELAS[[#This Row],[DATA PAGAMENTO]])=0),"",TEXT(DAY(PARCELAS[[#This Row],[DATA PAGAMENTO]]),"00"))</f>
      </c>
      <c r="M43" t="str" s="13">
        <f>IF(ISBLANK(PARCELAS[[#This Row],[DATA PAGAMENTO]]),"",INDEX(MESES[MÊS],MATCH(MONTH(PARCELAS[[#This Row],[DATA PAGAMENTO]]),MESES[N],0)))</f>
      </c>
      <c r="N43" s="12">
        <f>IF(OR(ISBLANK(PARCELAS[[#This Row],[DATA PAGAMENTO]]),YEAR(PARCELAS[[#This Row],[DATA PAGAMENTO]])=1900),"",YEAR(PARCELAS[[#This Row],[DATA PAGAMENTO]]))</f>
      </c>
      <c r="O43" t="s" s="15">
        <v>46</v>
      </c>
    </row>
    <row r="44" spans="1:18">
      <c r="A44" t="s" s="8">
        <v>12</v>
      </c>
      <c r="B44" t="str" s="5">
        <f>IFERROR(INDEX(GERAL[CPF],MATCH(PARCELAS[[#This Row],[NOME]],GERAL[NOME],0)),"-")</f>
        <v>046.931.264-54</v>
      </c>
      <c r="C44" s="16">
        <f>COUNTIF(PARCELAS[[#Headers],[NOME]]:PARCELAS[[#This Row],[NOME]],PARCELAS[[#This Row],[NOME]])</f>
        <v>15</v>
      </c>
      <c r="D44" t="s" s="8">
        <v>62</v>
      </c>
      <c r="E44" s="10">
        <v>1000</v>
      </c>
      <c r="F44" s="9"/>
      <c r="G44" s="9">
        <v>46336</v>
      </c>
      <c r="H44" t="s" s="11">
        <v>11</v>
      </c>
      <c r="I44" t="str" s="12">
        <f>IFERROR(INDEX(GERAL[PIX],MATCH(PARCELAS[[#This Row],[NOME]],GERAL[NOME],0)),"-")</f>
        <v>046.931.264-54</v>
      </c>
      <c r="J44" t="s">
        <f>IFERROR(INDEX(GERAL[BANCO],MATCH(PARCELAS[[#This Row],[NOME]],GERAL[NOME],0)),"-")</f>
        <v>42</v>
      </c>
      <c r="K44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4" t="str" s="12">
        <f>IF(OR(ISBLANK(PARCELAS[[#This Row],[DATA PAGAMENTO]]),DAY(PARCELAS[[#This Row],[DATA PAGAMENTO]])=0),"",TEXT(DAY(PARCELAS[[#This Row],[DATA PAGAMENTO]]),"00"))</f>
      </c>
      <c r="M44" t="str" s="13">
        <f>IF(ISBLANK(PARCELAS[[#This Row],[DATA PAGAMENTO]]),"",INDEX(MESES[MÊS],MATCH(MONTH(PARCELAS[[#This Row],[DATA PAGAMENTO]]),MESES[N],0)))</f>
      </c>
      <c r="N44" s="12">
        <f>IF(OR(ISBLANK(PARCELAS[[#This Row],[DATA PAGAMENTO]]),YEAR(PARCELAS[[#This Row],[DATA PAGAMENTO]])=1900),"",YEAR(PARCELAS[[#This Row],[DATA PAGAMENTO]]))</f>
      </c>
      <c r="O44" t="s">
        <v>43</v>
      </c>
    </row>
    <row r="45" spans="1:18">
      <c r="A45" t="s" s="8">
        <v>17</v>
      </c>
      <c r="B45" t="str" s="5">
        <f>IFERROR(INDEX(GERAL[CPF],MATCH(PARCELAS[[#This Row],[NOME]],GERAL[NOME],0)),"-")</f>
        <v>064.142.434-50</v>
      </c>
      <c r="C45" s="16">
        <f>COUNTIF(PARCELAS[[#Headers],[NOME]]:PARCELAS[[#This Row],[NOME]],PARCELAS[[#This Row],[NOME]])</f>
        <v>15</v>
      </c>
      <c r="D45" t="s" s="8">
        <v>62</v>
      </c>
      <c r="E45" s="10">
        <v>1000</v>
      </c>
      <c r="F45" s="9"/>
      <c r="G45" s="9">
        <v>46336</v>
      </c>
      <c r="H45" t="s" s="11">
        <v>11</v>
      </c>
      <c r="I45" t="str" s="12">
        <f>IFERROR(INDEX(GERAL[PIX],MATCH(PARCELAS[[#This Row],[NOME]],GERAL[NOME],0)),"-")</f>
        <v>064.142.434-50</v>
      </c>
      <c r="J45" t="s">
        <f>IFERROR(INDEX(GERAL[BANCO],MATCH(PARCELAS[[#This Row],[NOME]],GERAL[NOME],0)),"-")</f>
        <v>45</v>
      </c>
      <c r="K45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5" t="str" s="12">
        <f>IF(OR(ISBLANK(PARCELAS[[#This Row],[DATA PAGAMENTO]]),DAY(PARCELAS[[#This Row],[DATA PAGAMENTO]])=0),"",TEXT(DAY(PARCELAS[[#This Row],[DATA PAGAMENTO]]),"00"))</f>
      </c>
      <c r="M45" t="str" s="13">
        <f>IF(ISBLANK(PARCELAS[[#This Row],[DATA PAGAMENTO]]),"",INDEX(MESES[MÊS],MATCH(MONTH(PARCELAS[[#This Row],[DATA PAGAMENTO]]),MESES[N],0)))</f>
      </c>
      <c r="N45" s="12">
        <f>IF(OR(ISBLANK(PARCELAS[[#This Row],[DATA PAGAMENTO]]),YEAR(PARCELAS[[#This Row],[DATA PAGAMENTO]])=1900),"",YEAR(PARCELAS[[#This Row],[DATA PAGAMENTO]]))</f>
      </c>
      <c r="O45" t="s" s="15">
        <v>46</v>
      </c>
    </row>
    <row r="46" spans="1:18">
      <c r="A46" t="s" s="8">
        <v>23</v>
      </c>
      <c r="B46" t="str" s="5">
        <f>IFERROR(INDEX(GERAL[CPF],MATCH(PARCELAS[[#This Row],[NOME]],GERAL[NOME],0)),"-")</f>
        <v>341.267.018-93</v>
      </c>
      <c r="C46" s="16">
        <f>COUNTIF(PARCELAS[[#Headers],[NOME]]:PARCELAS[[#This Row],[NOME]],PARCELAS[[#This Row],[NOME]])</f>
        <v>15</v>
      </c>
      <c r="D46" t="s" s="8">
        <v>62</v>
      </c>
      <c r="E46" s="10">
        <v>1000</v>
      </c>
      <c r="F46" s="9"/>
      <c r="G46" s="9">
        <v>46336</v>
      </c>
      <c r="H46" t="s" s="11">
        <v>11</v>
      </c>
      <c r="I46" t="str" s="12">
        <f>IFERROR(INDEX(GERAL[PIX],MATCH(PARCELAS[[#This Row],[NOME]],GERAL[NOME],0)),"-")</f>
        <v>(82)99929-1488</v>
      </c>
      <c r="J46" t="s">
        <f>IFERROR(INDEX(GERAL[BANCO],MATCH(PARCELAS[[#This Row],[NOME]],GERAL[NOME],0)),"-")</f>
        <v>42</v>
      </c>
      <c r="K46" s="14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6" t="str" s="12">
        <f>IF(OR(ISBLANK(PARCELAS[[#This Row],[DATA PAGAMENTO]]),DAY(PARCELAS[[#This Row],[DATA PAGAMENTO]])=0),"",TEXT(DAY(PARCELAS[[#This Row],[DATA PAGAMENTO]]),"00"))</f>
      </c>
      <c r="M46" t="str" s="13">
        <f>IF(ISBLANK(PARCELAS[[#This Row],[DATA PAGAMENTO]]),"",INDEX(MESES[MÊS],MATCH(MONTH(PARCELAS[[#This Row],[DATA PAGAMENTO]]),MESES[N],0)))</f>
      </c>
      <c r="N46" s="12">
        <f>IF(OR(ISBLANK(PARCELAS[[#This Row],[DATA PAGAMENTO]]),YEAR(PARCELAS[[#This Row],[DATA PAGAMENTO]])=1900),"",YEAR(PARCELAS[[#This Row],[DATA PAGAMENTO]]))</f>
      </c>
      <c r="O46" t="s" s="15">
        <v>46</v>
      </c>
    </row>
    <row r="47" spans="1:18">
      <c r="A47" t="s" s="8">
        <v>12</v>
      </c>
      <c r="B47" t="str" s="5">
        <f>IFERROR(INDEX(GERAL[CPF],MATCH(PARCELAS[[#This Row],[NOME]],GERAL[NOME],0)),"-")</f>
        <v>046.931.264-54</v>
      </c>
      <c r="C47" s="16">
        <f>COUNTIF(PARCELAS[[#Headers],[NOME]]:PARCELAS[[#This Row],[NOME]],PARCELAS[[#This Row],[NOME]])</f>
        <v>16</v>
      </c>
      <c r="D47" t="s" s="8">
        <v>62</v>
      </c>
      <c r="E47" s="10">
        <v>1000</v>
      </c>
      <c r="F47" s="9"/>
      <c r="G47" s="9">
        <v>46366</v>
      </c>
      <c r="H47" t="s" s="11">
        <v>11</v>
      </c>
      <c r="I47" t="str" s="25">
        <f>IFERROR(INDEX(GERAL[PIX],MATCH(PARCELAS[[#This Row],[NOME]],GERAL[NOME],0)),"-")</f>
        <v>046.931.264-54</v>
      </c>
      <c r="J47">
        <f>IFERROR(INDEX(GERAL[BANCO],MATCH(PARCELAS[[#This Row],[NOME]],GERAL[NOME],0)),"-")</f>
      </c>
      <c r="K47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7" t="str" s="25">
        <f>IF(OR(ISBLANK(PARCELAS[[#This Row],[DATA PAGAMENTO]]),DAY(PARCELAS[[#This Row],[DATA PAGAMENTO]])=0),"",TEXT(DAY(PARCELAS[[#This Row],[DATA PAGAMENTO]]),"00"))</f>
      </c>
      <c r="M47" t="str" s="27">
        <f>IF(ISBLANK(PARCELAS[[#This Row],[DATA PAGAMENTO]]),"",INDEX(MESES[MÊS],MATCH(MONTH(PARCELAS[[#This Row],[DATA PAGAMENTO]]),MESES[N],0)))</f>
      </c>
      <c r="N47" s="25">
        <f>IF(OR(ISBLANK(PARCELAS[[#This Row],[DATA PAGAMENTO]]),YEAR(PARCELAS[[#This Row],[DATA PAGAMENTO]])=1900),"",YEAR(PARCELAS[[#This Row],[DATA PAGAMENTO]]))</f>
      </c>
      <c r="O47" t="s" s="28">
        <v>43</v>
      </c>
    </row>
    <row r="48" spans="1:18">
      <c r="A48" t="s" s="8">
        <v>17</v>
      </c>
      <c r="B48" t="str" s="5">
        <f>IFERROR(INDEX(GERAL[CPF],MATCH(PARCELAS[[#This Row],[NOME]],GERAL[NOME],0)),"-")</f>
        <v>064.142.434-50</v>
      </c>
      <c r="C48" s="16">
        <f>COUNTIF(PARCELAS[[#Headers],[NOME]]:PARCELAS[[#This Row],[NOME]],PARCELAS[[#This Row],[NOME]])</f>
        <v>16</v>
      </c>
      <c r="D48" t="s" s="8">
        <v>62</v>
      </c>
      <c r="E48" s="10">
        <v>1000</v>
      </c>
      <c r="F48" s="9"/>
      <c r="G48" s="9">
        <v>46366</v>
      </c>
      <c r="H48" t="s" s="11">
        <v>11</v>
      </c>
      <c r="I48" t="str" s="25">
        <f>IFERROR(INDEX(GERAL[PIX],MATCH(PARCELAS[[#This Row],[NOME]],GERAL[NOME],0)),"-")</f>
        <v>064.142.434-50</v>
      </c>
      <c r="J48">
        <f>IFERROR(INDEX(GERAL[BANCO],MATCH(PARCELAS[[#This Row],[NOME]],GERAL[NOME],0)),"-")</f>
      </c>
      <c r="K48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8" t="str" s="25">
        <f>IF(OR(ISBLANK(PARCELAS[[#This Row],[DATA PAGAMENTO]]),DAY(PARCELAS[[#This Row],[DATA PAGAMENTO]])=0),"",TEXT(DAY(PARCELAS[[#This Row],[DATA PAGAMENTO]]),"00"))</f>
      </c>
      <c r="M48" t="str" s="27">
        <f>IF(ISBLANK(PARCELAS[[#This Row],[DATA PAGAMENTO]]),"",INDEX(MESES[MÊS],MATCH(MONTH(PARCELAS[[#This Row],[DATA PAGAMENTO]]),MESES[N],0)))</f>
      </c>
      <c r="N48" s="25">
        <f>IF(OR(ISBLANK(PARCELAS[[#This Row],[DATA PAGAMENTO]]),YEAR(PARCELAS[[#This Row],[DATA PAGAMENTO]])=1900),"",YEAR(PARCELAS[[#This Row],[DATA PAGAMENTO]]))</f>
      </c>
      <c r="O48" t="s" s="28">
        <v>46</v>
      </c>
    </row>
    <row r="49" spans="1:18">
      <c r="A49" t="s" s="8">
        <v>23</v>
      </c>
      <c r="B49" t="str" s="5">
        <f>IFERROR(INDEX(GERAL[CPF],MATCH(PARCELAS[[#This Row],[NOME]],GERAL[NOME],0)),"-")</f>
        <v>341.267.018-93</v>
      </c>
      <c r="C49" s="16">
        <f>COUNTIF(PARCELAS[[#Headers],[NOME]]:PARCELAS[[#This Row],[NOME]],PARCELAS[[#This Row],[NOME]])</f>
        <v>16</v>
      </c>
      <c r="D49" t="s" s="8">
        <v>62</v>
      </c>
      <c r="E49" s="10">
        <v>1000</v>
      </c>
      <c r="F49" s="9"/>
      <c r="G49" s="9">
        <v>46366</v>
      </c>
      <c r="H49" t="s" s="11">
        <v>11</v>
      </c>
      <c r="I49" t="str" s="25">
        <f>IFERROR(INDEX(GERAL[PIX],MATCH(PARCELAS[[#This Row],[NOME]],GERAL[NOME],0)),"-")</f>
        <v>(82)99929-1488</v>
      </c>
      <c r="J49">
        <f>IFERROR(INDEX(GERAL[BANCO],MATCH(PARCELAS[[#This Row],[NOME]],GERAL[NOME],0)),"-")</f>
      </c>
      <c r="K49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49" t="str" s="25">
        <f>IF(OR(ISBLANK(PARCELAS[[#This Row],[DATA PAGAMENTO]]),DAY(PARCELAS[[#This Row],[DATA PAGAMENTO]])=0),"",TEXT(DAY(PARCELAS[[#This Row],[DATA PAGAMENTO]]),"00"))</f>
      </c>
      <c r="M49" t="str" s="27">
        <f>IF(ISBLANK(PARCELAS[[#This Row],[DATA PAGAMENTO]]),"",INDEX(MESES[MÊS],MATCH(MONTH(PARCELAS[[#This Row],[DATA PAGAMENTO]]),MESES[N],0)))</f>
      </c>
      <c r="N49" s="25">
        <f>IF(OR(ISBLANK(PARCELAS[[#This Row],[DATA PAGAMENTO]]),YEAR(PARCELAS[[#This Row],[DATA PAGAMENTO]])=1900),"",YEAR(PARCELAS[[#This Row],[DATA PAGAMENTO]]))</f>
      </c>
      <c r="O49" t="s" s="28">
        <v>46</v>
      </c>
    </row>
    <row r="50" spans="1:18">
      <c r="A50" t="s" s="8">
        <v>12</v>
      </c>
      <c r="B50" t="str" s="5">
        <f>IFERROR(INDEX(GERAL[CPF],MATCH(PARCELAS[[#This Row],[NOME]],GERAL[NOME],0)),"-")</f>
        <v>046.931.264-54</v>
      </c>
      <c r="C50" s="16">
        <f>COUNTIF(PARCELAS[[#Headers],[NOME]]:PARCELAS[[#This Row],[NOME]],PARCELAS[[#This Row],[NOME]])</f>
        <v>17</v>
      </c>
      <c r="D50" t="s" s="8">
        <v>62</v>
      </c>
      <c r="E50" s="10">
        <v>1000</v>
      </c>
      <c r="F50" s="9"/>
      <c r="G50" s="9">
        <v>46397</v>
      </c>
      <c r="H50" t="s" s="11">
        <v>11</v>
      </c>
      <c r="I50" t="str" s="25">
        <f>IFERROR(INDEX(GERAL[PIX],MATCH(PARCELAS[[#This Row],[NOME]],GERAL[NOME],0)),"-")</f>
        <v>046.931.264-54</v>
      </c>
      <c r="J50">
        <f>IFERROR(INDEX(GERAL[BANCO],MATCH(PARCELAS[[#This Row],[NOME]],GERAL[NOME],0)),"-")</f>
      </c>
      <c r="K50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0" t="str" s="25">
        <f>IF(OR(ISBLANK(PARCELAS[[#This Row],[DATA PAGAMENTO]]),DAY(PARCELAS[[#This Row],[DATA PAGAMENTO]])=0),"",TEXT(DAY(PARCELAS[[#This Row],[DATA PAGAMENTO]]),"00"))</f>
      </c>
      <c r="M50" t="str" s="27">
        <f>IF(ISBLANK(PARCELAS[[#This Row],[DATA PAGAMENTO]]),"",INDEX(MESES[MÊS],MATCH(MONTH(PARCELAS[[#This Row],[DATA PAGAMENTO]]),MESES[N],0)))</f>
      </c>
      <c r="N50" s="25">
        <f>IF(OR(ISBLANK(PARCELAS[[#This Row],[DATA PAGAMENTO]]),YEAR(PARCELAS[[#This Row],[DATA PAGAMENTO]])=1900),"",YEAR(PARCELAS[[#This Row],[DATA PAGAMENTO]]))</f>
      </c>
      <c r="O50" t="s" s="28">
        <v>43</v>
      </c>
    </row>
    <row r="51" spans="1:18">
      <c r="A51" t="s" s="8">
        <v>17</v>
      </c>
      <c r="B51" t="str" s="5">
        <f>IFERROR(INDEX(GERAL[CPF],MATCH(PARCELAS[[#This Row],[NOME]],GERAL[NOME],0)),"-")</f>
        <v>064.142.434-50</v>
      </c>
      <c r="C51" s="16">
        <f>COUNTIF(PARCELAS[[#Headers],[NOME]]:PARCELAS[[#This Row],[NOME]],PARCELAS[[#This Row],[NOME]])</f>
        <v>17</v>
      </c>
      <c r="D51" t="s" s="8">
        <v>62</v>
      </c>
      <c r="E51" s="10">
        <v>1000</v>
      </c>
      <c r="F51" s="9"/>
      <c r="G51" s="9">
        <v>46397</v>
      </c>
      <c r="H51" t="s" s="11">
        <v>11</v>
      </c>
      <c r="I51" t="str" s="25">
        <f>IFERROR(INDEX(GERAL[PIX],MATCH(PARCELAS[[#This Row],[NOME]],GERAL[NOME],0)),"-")</f>
        <v>064.142.434-50</v>
      </c>
      <c r="J51">
        <f>IFERROR(INDEX(GERAL[BANCO],MATCH(PARCELAS[[#This Row],[NOME]],GERAL[NOME],0)),"-")</f>
      </c>
      <c r="K51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1" t="str" s="25">
        <f>IF(OR(ISBLANK(PARCELAS[[#This Row],[DATA PAGAMENTO]]),DAY(PARCELAS[[#This Row],[DATA PAGAMENTO]])=0),"",TEXT(DAY(PARCELAS[[#This Row],[DATA PAGAMENTO]]),"00"))</f>
      </c>
      <c r="M51" t="str" s="27">
        <f>IF(ISBLANK(PARCELAS[[#This Row],[DATA PAGAMENTO]]),"",INDEX(MESES[MÊS],MATCH(MONTH(PARCELAS[[#This Row],[DATA PAGAMENTO]]),MESES[N],0)))</f>
      </c>
      <c r="N51" s="25">
        <f>IF(OR(ISBLANK(PARCELAS[[#This Row],[DATA PAGAMENTO]]),YEAR(PARCELAS[[#This Row],[DATA PAGAMENTO]])=1900),"",YEAR(PARCELAS[[#This Row],[DATA PAGAMENTO]]))</f>
      </c>
      <c r="O51" t="s" s="28">
        <v>46</v>
      </c>
    </row>
    <row r="52" spans="1:18">
      <c r="A52" t="s" s="8">
        <v>23</v>
      </c>
      <c r="B52" t="str" s="5">
        <f>IFERROR(INDEX(GERAL[CPF],MATCH(PARCELAS[[#This Row],[NOME]],GERAL[NOME],0)),"-")</f>
        <v>341.267.018-93</v>
      </c>
      <c r="C52" s="16">
        <f>COUNTIF(PARCELAS[[#Headers],[NOME]]:PARCELAS[[#This Row],[NOME]],PARCELAS[[#This Row],[NOME]])</f>
        <v>17</v>
      </c>
      <c r="D52" t="s" s="8">
        <v>62</v>
      </c>
      <c r="E52" s="10">
        <v>1000</v>
      </c>
      <c r="F52" s="9"/>
      <c r="G52" s="9">
        <v>46397</v>
      </c>
      <c r="H52" t="s" s="11">
        <v>11</v>
      </c>
      <c r="I52" t="str" s="25">
        <f>IFERROR(INDEX(GERAL[PIX],MATCH(PARCELAS[[#This Row],[NOME]],GERAL[NOME],0)),"-")</f>
        <v>(82)99929-1488</v>
      </c>
      <c r="J52">
        <f>IFERROR(INDEX(GERAL[BANCO],MATCH(PARCELAS[[#This Row],[NOME]],GERAL[NOME],0)),"-")</f>
      </c>
      <c r="K52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2" t="str" s="25">
        <f>IF(OR(ISBLANK(PARCELAS[[#This Row],[DATA PAGAMENTO]]),DAY(PARCELAS[[#This Row],[DATA PAGAMENTO]])=0),"",TEXT(DAY(PARCELAS[[#This Row],[DATA PAGAMENTO]]),"00"))</f>
      </c>
      <c r="M52" t="str" s="27">
        <f>IF(ISBLANK(PARCELAS[[#This Row],[DATA PAGAMENTO]]),"",INDEX(MESES[MÊS],MATCH(MONTH(PARCELAS[[#This Row],[DATA PAGAMENTO]]),MESES[N],0)))</f>
      </c>
      <c r="N52" s="25">
        <f>IF(OR(ISBLANK(PARCELAS[[#This Row],[DATA PAGAMENTO]]),YEAR(PARCELAS[[#This Row],[DATA PAGAMENTO]])=1900),"",YEAR(PARCELAS[[#This Row],[DATA PAGAMENTO]]))</f>
      </c>
      <c r="O52" t="s" s="28">
        <v>46</v>
      </c>
    </row>
    <row r="53" spans="1:18">
      <c r="A53" t="s" s="8">
        <v>12</v>
      </c>
      <c r="B53" t="str" s="5">
        <f>IFERROR(INDEX(GERAL[CPF],MATCH(PARCELAS[[#This Row],[NOME]],GERAL[NOME],0)),"-")</f>
        <v>046.931.264-54</v>
      </c>
      <c r="C53" s="16">
        <f>COUNTIF(PARCELAS[[#Headers],[NOME]]:PARCELAS[[#This Row],[NOME]],PARCELAS[[#This Row],[NOME]])</f>
        <v>18</v>
      </c>
      <c r="D53" t="s" s="8">
        <v>62</v>
      </c>
      <c r="E53" s="10">
        <v>500</v>
      </c>
      <c r="F53" s="9"/>
      <c r="G53" s="9">
        <v>46428</v>
      </c>
      <c r="H53" t="s" s="11">
        <v>11</v>
      </c>
      <c r="I53" t="str" s="25">
        <f>IFERROR(INDEX(GERAL[PIX],MATCH(PARCELAS[[#This Row],[NOME]],GERAL[NOME],0)),"-")</f>
        <v>046.931.264-54</v>
      </c>
      <c r="J53">
        <f>IFERROR(INDEX(GERAL[BANCO],MATCH(PARCELAS[[#This Row],[NOME]],GERAL[NOME],0)),"-")</f>
      </c>
      <c r="K53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3" t="str" s="25">
        <f>IF(OR(ISBLANK(PARCELAS[[#This Row],[DATA PAGAMENTO]]),DAY(PARCELAS[[#This Row],[DATA PAGAMENTO]])=0),"",TEXT(DAY(PARCELAS[[#This Row],[DATA PAGAMENTO]]),"00"))</f>
      </c>
      <c r="M53" t="str" s="27">
        <f>IF(ISBLANK(PARCELAS[[#This Row],[DATA PAGAMENTO]]),"",INDEX(MESES[MÊS],MATCH(MONTH(PARCELAS[[#This Row],[DATA PAGAMENTO]]),MESES[N],0)))</f>
      </c>
      <c r="N53" s="25">
        <f>IF(OR(ISBLANK(PARCELAS[[#This Row],[DATA PAGAMENTO]]),YEAR(PARCELAS[[#This Row],[DATA PAGAMENTO]])=1900),"",YEAR(PARCELAS[[#This Row],[DATA PAGAMENTO]]))</f>
      </c>
      <c r="O53" t="s" s="28">
        <v>43</v>
      </c>
    </row>
    <row r="54" spans="1:18">
      <c r="A54" t="s" s="8">
        <v>17</v>
      </c>
      <c r="B54" t="str" s="5">
        <f>IFERROR(INDEX(GERAL[CPF],MATCH(PARCELAS[[#This Row],[NOME]],GERAL[NOME],0)),"-")</f>
        <v>064.142.434-50</v>
      </c>
      <c r="C54" s="16">
        <f>COUNTIF(PARCELAS[[#Headers],[NOME]]:PARCELAS[[#This Row],[NOME]],PARCELAS[[#This Row],[NOME]])</f>
        <v>18</v>
      </c>
      <c r="D54" t="s" s="8">
        <v>62</v>
      </c>
      <c r="E54" s="10">
        <v>500</v>
      </c>
      <c r="F54" s="9"/>
      <c r="G54" s="9">
        <v>46428</v>
      </c>
      <c r="H54" t="s" s="11">
        <v>11</v>
      </c>
      <c r="I54" t="str" s="25">
        <f>IFERROR(INDEX(GERAL[PIX],MATCH(PARCELAS[[#This Row],[NOME]],GERAL[NOME],0)),"-")</f>
        <v>064.142.434-50</v>
      </c>
      <c r="J54">
        <f>IFERROR(INDEX(GERAL[BANCO],MATCH(PARCELAS[[#This Row],[NOME]],GERAL[NOME],0)),"-")</f>
      </c>
      <c r="K54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4" t="str" s="25">
        <f>IF(OR(ISBLANK(PARCELAS[[#This Row],[DATA PAGAMENTO]]),DAY(PARCELAS[[#This Row],[DATA PAGAMENTO]])=0),"",TEXT(DAY(PARCELAS[[#This Row],[DATA PAGAMENTO]]),"00"))</f>
      </c>
      <c r="M54" t="str" s="27">
        <f>IF(ISBLANK(PARCELAS[[#This Row],[DATA PAGAMENTO]]),"",INDEX(MESES[MÊS],MATCH(MONTH(PARCELAS[[#This Row],[DATA PAGAMENTO]]),MESES[N],0)))</f>
      </c>
      <c r="N54" s="25">
        <f>IF(OR(ISBLANK(PARCELAS[[#This Row],[DATA PAGAMENTO]]),YEAR(PARCELAS[[#This Row],[DATA PAGAMENTO]])=1900),"",YEAR(PARCELAS[[#This Row],[DATA PAGAMENTO]]))</f>
      </c>
      <c r="O54" t="s" s="28">
        <v>46</v>
      </c>
    </row>
    <row r="55" spans="1:18">
      <c r="A55" t="s" s="8">
        <v>23</v>
      </c>
      <c r="B55" t="str" s="5">
        <f>IFERROR(INDEX(GERAL[CPF],MATCH(PARCELAS[[#This Row],[NOME]],GERAL[NOME],0)),"-")</f>
        <v>341.267.018-93</v>
      </c>
      <c r="C55" s="16">
        <f>COUNTIF(PARCELAS[[#Headers],[NOME]]:PARCELAS[[#This Row],[NOME]],PARCELAS[[#This Row],[NOME]])</f>
        <v>18</v>
      </c>
      <c r="D55" t="s" s="8">
        <v>62</v>
      </c>
      <c r="E55" s="10">
        <v>500</v>
      </c>
      <c r="F55" s="9"/>
      <c r="G55" s="9">
        <v>46428</v>
      </c>
      <c r="H55" t="s" s="11">
        <v>11</v>
      </c>
      <c r="I55" t="str" s="25">
        <f>IFERROR(INDEX(GERAL[PIX],MATCH(PARCELAS[[#This Row],[NOME]],GERAL[NOME],0)),"-")</f>
        <v>(82)99929-1488</v>
      </c>
      <c r="J55">
        <f>IFERROR(INDEX(GERAL[BANCO],MATCH(PARCELAS[[#This Row],[NOME]],GERAL[NOME],0)),"-")</f>
      </c>
      <c r="K55" s="26">
        <f>IFERROR(INDEX(GERAL[CONTRATO],MATCH(PARCELAS[[#This Row],[NOME]],GERAL[NOME],0)) - SUMPRODUCT((PARCELAS[NOME]=PARCELAS[[#This Row],[NOME]])*(ROW(PARCELAS[NOME])&lt;=ROW(PARCELAS[[#This Row],[NOME]])) * (PARCELAS[STATUS]="PAGO") * PARCELAS[VALOR]), "")</f>
        <v>4500</v>
      </c>
      <c r="L55" t="str" s="25">
        <f>IF(OR(ISBLANK(PARCELAS[[#This Row],[DATA PAGAMENTO]]),DAY(PARCELAS[[#This Row],[DATA PAGAMENTO]])=0),"",TEXT(DAY(PARCELAS[[#This Row],[DATA PAGAMENTO]]),"00"))</f>
      </c>
      <c r="M55" t="str" s="27">
        <f>IF(ISBLANK(PARCELAS[[#This Row],[DATA PAGAMENTO]]),"",INDEX(MESES[MÊS],MATCH(MONTH(PARCELAS[[#This Row],[DATA PAGAMENTO]]),MESES[N],0)))</f>
      </c>
      <c r="N55" s="25">
        <f>IF(OR(ISBLANK(PARCELAS[[#This Row],[DATA PAGAMENTO]]),YEAR(PARCELAS[[#This Row],[DATA PAGAMENTO]])=1900),"",YEAR(PARCELAS[[#This Row],[DATA PAGAMENTO]]))</f>
      </c>
      <c r="O55" t="s" s="28">
        <v>46</v>
      </c>
    </row>
  </sheetData>
  <phoneticPr fontId="4" type="noConversion"/>
  <conditionalFormatting sqref="I2:I55">
    <cfRule type="cellIs" dxfId="14" priority="1" operator="equal">
      <formula>0</formula>
    </cfRule>
  </conditionalFormatting>
  <dataValidations count="2">
    <dataValidation type="list" allowBlank="1" showInputMessage="1" showErrorMessage="1" sqref="F2:F55" ns2:uid="{80E9E4ED-85D5-466A-90B9-E4E74AEFE420}">
      <formula1>"PIX,TED/TRANSFERÊNCIA,ESPÉCIE"</formula1>
    </dataValidation>
    <dataValidation type="list" allowBlank="1" showInputMessage="1" showErrorMessage="1" sqref="A2:A55" ns2:uid="{1D45C3F5-D46C-4834-9364-65E1A8962D69}">
      <formula1>INDIRECT("GERAL[NOME]")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Alisson Vinicius</dc:creator>
  <cp:keywords/>
  <dc:description/>
  <cp:lastModifiedBy>Alisson Silva</cp:lastModifiedBy>
  <cp:revision/>
  <dcterms:created xsi:type="dcterms:W3CDTF">2025-08-21T20:36:16Z</dcterms:created>
  <dcterms:modified xsi:type="dcterms:W3CDTF">2026-10-06T02:44:04Z</dcterms:modified>
  <cp:category/>
  <cp:contentStatus/>
</cp:coreProperties>
</file>