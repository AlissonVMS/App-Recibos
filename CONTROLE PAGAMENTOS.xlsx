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d.docs.live.net/73038f4e0e625833/Documentos/^N^Ndocs herança irmãos/"/>
    </mc:Choice>
  </mc:AlternateContent>
  <xr:revisionPtr revIDLastSave="0" documentId="8_{9C84DC41-9F80-44FA-A25F-BBCE76877A7A}" xr6:coauthVersionLast="47" xr6:coauthVersionMax="47" xr10:uidLastSave="{00000000-0000-0000-0000-000000000000}"/>
  <bookViews>
    <workbookView xWindow="-120" yWindow="-120" windowWidth="29040" windowHeight="16440" firstSheet="1" activeTab="1" xr2:uid="{8957FC98-F8EC-452D-BD69-ADFEA55FA2C2}"/>
  </bookViews>
  <sheets>
    <sheet name="Controle Geral" sheetId="1" r:id="rId1"/>
    <sheet name="Registro de Pagamen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I2" i="2" a="1"/>
  <c r="I2" i="2"/>
  <c r="I3" i="2" a="1"/>
  <c r="I3" i="2"/>
  <c r="I4" i="2" a="1"/>
  <c r="I4" i="2"/>
  <c r="I5" i="2" a="1"/>
  <c r="I5" i="2"/>
  <c r="I6" i="2" a="1"/>
  <c r="I6" i="2"/>
  <c r="I7" i="2" a="1"/>
  <c r="I7" i="2"/>
  <c r="I8" i="2" a="1"/>
  <c r="I8" i="2"/>
  <c r="I9" i="2" a="1"/>
  <c r="I9" i="2"/>
  <c r="I10" i="2" a="1"/>
  <c r="I10" i="2"/>
  <c r="I11" i="2" a="1"/>
  <c r="I11" i="2"/>
  <c r="I12" i="2" a="1"/>
  <c r="I12" i="2"/>
  <c r="I13" i="2" a="1"/>
  <c r="I13" i="2"/>
  <c r="I14" i="2" a="1"/>
  <c r="I14" i="2"/>
  <c r="I15" i="2" a="1"/>
  <c r="I15" i="2"/>
  <c r="I16" i="2" a="1"/>
  <c r="I16" i="2"/>
  <c r="I17" i="2" a="1"/>
  <c r="I17" i="2"/>
  <c r="I18" i="2" a="1"/>
  <c r="I18" i="2"/>
  <c r="I19" i="2" a="1"/>
  <c r="I19" i="2"/>
  <c r="I20" i="2" a="1"/>
  <c r="I20" i="2"/>
  <c r="I21" i="2" a="1"/>
  <c r="I21" i="2"/>
  <c r="I22" i="2" a="1"/>
  <c r="I22" i="2"/>
  <c r="I23" i="2" a="1"/>
  <c r="I23" i="2"/>
  <c r="I24" i="2" a="1"/>
  <c r="I24" i="2"/>
  <c r="I25" i="2" a="1"/>
  <c r="I25" i="2"/>
  <c r="I26" i="2" a="1"/>
  <c r="I26" i="2"/>
  <c r="I27" i="2" a="1"/>
  <c r="I27" i="2"/>
  <c r="I28" i="2" a="1"/>
  <c r="I28" i="2"/>
  <c r="I29" i="2" a="1"/>
  <c r="I29" i="2"/>
  <c r="I30" i="2" a="1"/>
  <c r="I30" i="2"/>
  <c r="I31" i="2" a="1"/>
  <c r="I31" i="2"/>
  <c r="I32" i="2" a="1"/>
  <c r="I32" i="2"/>
  <c r="I33" i="2" a="1"/>
  <c r="I33" i="2"/>
  <c r="I34" i="2" a="1"/>
  <c r="I34" i="2"/>
  <c r="I35" i="2" a="1"/>
  <c r="I35" i="2"/>
  <c r="I36" i="2" a="1"/>
  <c r="I36" i="2"/>
  <c r="I37" i="2" a="1"/>
  <c r="I37" i="2"/>
  <c r="I38" i="2" a="1"/>
  <c r="I38" i="2"/>
  <c r="I39" i="2" a="1"/>
  <c r="I39" i="2"/>
  <c r="I40" i="2" a="1"/>
  <c r="I40" i="2"/>
  <c r="I41" i="2" a="1"/>
  <c r="I41" i="2"/>
  <c r="I42" i="2" a="1"/>
  <c r="I42" i="2"/>
  <c r="I43" i="2" a="1"/>
  <c r="I43" i="2"/>
  <c r="I44" i="2" a="1"/>
  <c r="I44" i="2"/>
  <c r="I45" i="2" a="1"/>
  <c r="I45" i="2"/>
  <c r="I46" i="2" a="1"/>
  <c r="I46" i="2"/>
  <c r="I47" i="2" a="1"/>
  <c r="I47" i="2"/>
  <c r="I48" i="2" a="1"/>
  <c r="I48" i="2"/>
  <c r="I49" i="2" a="1"/>
  <c r="I49" i="2"/>
  <c r="I50" i="2" a="1"/>
  <c r="I50" i="2"/>
  <c r="I51" i="2" a="1"/>
  <c r="I51" i="2"/>
  <c r="I52" i="2" a="1"/>
  <c r="I52" i="2"/>
  <c r="I53" i="2" a="1"/>
  <c r="I53" i="2"/>
  <c r="I54" i="2" a="1"/>
  <c r="I54" i="2"/>
  <c r="I55" i="2" a="1"/>
  <c r="I55" i="2"/>
  <c r="B53" i="2"/>
  <c r="B54" i="2"/>
  <c r="B55" i="2"/>
  <c r="C53" i="2"/>
  <c r="C54" i="2"/>
  <c r="C55" i="2"/>
  <c r="G53" i="2"/>
  <c r="G54" i="2"/>
  <c r="G55" i="2"/>
  <c r="J53" i="2"/>
  <c r="J54" i="2"/>
  <c r="J55" i="2"/>
  <c r="K53" i="2"/>
  <c r="K54" i="2"/>
  <c r="K55" i="2"/>
  <c r="L53" i="2"/>
  <c r="L54" i="2"/>
  <c r="L55" i="2"/>
  <c r="B50" i="2"/>
  <c r="B51" i="2"/>
  <c r="B52" i="2"/>
  <c r="C50" i="2"/>
  <c r="C51" i="2"/>
  <c r="C52" i="2"/>
  <c r="G50" i="2"/>
  <c r="G51" i="2"/>
  <c r="G52" i="2"/>
  <c r="J50" i="2"/>
  <c r="J51" i="2"/>
  <c r="J52" i="2"/>
  <c r="K50" i="2"/>
  <c r="K51" i="2"/>
  <c r="K52" i="2"/>
  <c r="L50" i="2"/>
  <c r="L51" i="2"/>
  <c r="L52" i="2"/>
  <c r="B47" i="2"/>
  <c r="B48" i="2"/>
  <c r="B49" i="2"/>
  <c r="C47" i="2"/>
  <c r="C48" i="2"/>
  <c r="C49" i="2"/>
  <c r="G47" i="2"/>
  <c r="G48" i="2"/>
  <c r="G49" i="2"/>
  <c r="J47" i="2"/>
  <c r="J48" i="2"/>
  <c r="J49" i="2"/>
  <c r="K47" i="2"/>
  <c r="K48" i="2"/>
  <c r="K49" i="2"/>
  <c r="L47" i="2"/>
  <c r="L48" i="2"/>
  <c r="L49" i="2"/>
  <c r="B8" i="1"/>
  <c r="C8" i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B38" i="2"/>
  <c r="B39" i="2"/>
  <c r="B40" i="2"/>
  <c r="B41" i="2"/>
  <c r="B42" i="2"/>
  <c r="B43" i="2"/>
  <c r="B44" i="2"/>
  <c r="B45" i="2"/>
  <c r="B46" i="2"/>
  <c r="G38" i="2"/>
  <c r="G39" i="2"/>
  <c r="G40" i="2"/>
  <c r="G41" i="2"/>
  <c r="G42" i="2"/>
  <c r="G43" i="2"/>
  <c r="G44" i="2"/>
  <c r="G45" i="2"/>
  <c r="G46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E4" i="1" l="1"/>
  <c r="F4" i="1" s="1"/>
  <c r="E3" i="1"/>
  <c r="F3" i="1" s="1"/>
  <c r="E2" i="1" l="1"/>
  <c r="F2" i="1" s="1"/>
  <c r="B9" i="1"/>
  <c r="C9" i="1" l="1"/>
  <c r="B10" i="1"/>
  <c r="C1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<sst xmlns="http://schemas.openxmlformats.org/spreadsheetml/2006/main" count="271" uniqueCount="58">
  <si>
    <t>NOME</t>
  </si>
  <si>
    <t>CPF</t>
  </si>
  <si>
    <t>CONTRATO</t>
  </si>
  <si>
    <t>PAGO</t>
  </si>
  <si>
    <t>SALDO</t>
  </si>
  <si>
    <t>STATUS</t>
  </si>
  <si>
    <t>BANCO</t>
  </si>
  <si>
    <t>AG</t>
  </si>
  <si>
    <t>CONTA</t>
  </si>
  <si>
    <t>OP</t>
  </si>
  <si>
    <t>TIPO</t>
  </si>
  <si>
    <t>PIX</t>
  </si>
  <si>
    <t>ELIANE MARIA DA SILVA</t>
  </si>
  <si>
    <t>046.931.264-54</t>
  </si>
  <si>
    <t>CAIXA ECONOMICA FEDERAL</t>
  </si>
  <si>
    <t>786779864-2</t>
  </si>
  <si>
    <t>POUPANÇA</t>
  </si>
  <si>
    <t>ELINALDO MARQUES DA SILVA</t>
  </si>
  <si>
    <t>064.142.434-50</t>
  </si>
  <si>
    <t>NUBANK</t>
  </si>
  <si>
    <t>11297311-9</t>
  </si>
  <si>
    <t>-</t>
  </si>
  <si>
    <t>CORRENTE</t>
  </si>
  <si>
    <t>ELISANGELA MARIA VASCONCELOS DE ARAÚJO</t>
  </si>
  <si>
    <t>341.267.018-93</t>
  </si>
  <si>
    <t>796940938-6</t>
  </si>
  <si>
    <t>(82)99929-1488</t>
  </si>
  <si>
    <t>ITEM</t>
  </si>
  <si>
    <t>VALOR</t>
  </si>
  <si>
    <t>%</t>
  </si>
  <si>
    <t>TOTAL</t>
  </si>
  <si>
    <t>REALIZADO</t>
  </si>
  <si>
    <t>COMPROMETIDO</t>
  </si>
  <si>
    <t>PARCELA</t>
  </si>
  <si>
    <t>DATA</t>
  </si>
  <si>
    <t>FORMA PGTO</t>
  </si>
  <si>
    <t>CHAVE</t>
  </si>
  <si>
    <t>DIA</t>
  </si>
  <si>
    <t>MÊS</t>
  </si>
  <si>
    <t>ANO</t>
  </si>
  <si>
    <t>CIDADE / UF</t>
  </si>
  <si>
    <t>N</t>
  </si>
  <si>
    <t>Caixa Econômica Federal</t>
  </si>
  <si>
    <t>Maceió - AL</t>
  </si>
  <si>
    <t>janeiro</t>
  </si>
  <si>
    <t>Nu Pagamentos S.A.</t>
  </si>
  <si>
    <t>Barra de São Miguel - AL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</si>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</sst>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0\.000\.000\-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/>
    <xf numFmtId="44" fontId="0" fillId="0" borderId="0" xfId="1" applyFont="1"/>
    <xf numFmtId="0" fontId="2" fillId="2" borderId="1" xfId="0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4" fontId="3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1" fontId="3" fillId="0" borderId="0" xfId="0" applyNumberFormat="1" applyFont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0" fontId="5" fillId="0" borderId="0" xfId="0" applyFont="1"/>
    <xf numFmtId="44" fontId="5" fillId="0" borderId="0" xfId="1" applyFont="1"/>
    <xf numFmtId="10" fontId="5" fillId="0" borderId="0" xfId="2" applyNumberFormat="1" applyFont="1"/>
    <xf numFmtId="44" fontId="3" fillId="0" borderId="0" xfId="1" applyFont="1" applyFill="1" applyAlignment="1">
      <alignment horizontal="center" vertical="center"/>
    </xf>
    <xf numFmtId="44" fontId="3" fillId="0" borderId="0" xfId="1" applyFont="1" applyFill="1" applyAlignment="1">
      <alignment vertical="center"/>
    </xf>
    <xf numFmtId="44" fontId="0" fillId="0" borderId="0" xfId="0" applyNumberFormat="1"/>
    <xf numFmtId="0" fontId="3" fillId="0" borderId="0" xfId="0" applyNumberFormat="1" applyFont="1" applyAlignment="1">
      <alignment horizontal="center" vertical="center"/>
    </xf>
    <xf numFmtId="44" fontId="3" fillId="0" borderId="0" xfId="1" applyNumberFormat="1" applyFont="1" applyAlignment="1">
      <alignment vertical="center"/>
    </xf>
    <xf numFmtId="0" fontId="3" fillId="0" borderId="0" xfId="0" applyNumberFormat="1" applyFont="1" applyAlignment="1">
      <alignment horizontal="left" vertical="center"/>
    </xf>
    <xf numFmtId="0" fontId="3" fillId="0" borderId="0" xfId="0" applyNumberFormat="1" applyFont="1" applyAlignment="1">
      <alignment vertical="center"/>
    </xf>
  </cellXfs>
  <cellStyles count="3">
    <cellStyle name="Moeda" xfId="1" builtinId="4"/>
    <cellStyle name="Normal" xfId="0" builtinId="0"/>
    <cellStyle name="Porcentagem" xfId="2" builtinId="5"/>
  </cellStyles>
  <dxfs count="27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4" formatCode="_-&quot;R$&quot;\ * #,##0.00_-;\-&quot;R$&quot;\ * #,##0.00_-;_-&quot;R$&quot;\ * &quot;-&quot;??_-;_-@_-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4" formatCode="000\.000\.000\-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30" formatCode="@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FFFF00"/>
      </font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0" formatCode="@"/>
    </dxf>
    <dxf>
      <numFmt numFmtId="0" formatCode="General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'Controle Geral'!$B$7</c:f>
              <c:strCache>
                <c:ptCount val="1"/>
                <c:pt idx="0">
                  <c:v>VALOR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00B05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F12-484E-845F-0DA000CE38E9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F12-484E-845F-0DA000CE38E9}"/>
              </c:ext>
            </c:extLst>
          </c:dPt>
          <c:dLbls>
            <c:dLbl>
              <c:idx val="0"/>
              <c:layout>
                <c:manualLayout>
                  <c:x val="1.7497947454843926E-2"/>
                  <c:y val="2.35647713032581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F12-484E-845F-0DA000CE38E9}"/>
                </c:ext>
              </c:extLst>
            </c:dLbl>
            <c:dLbl>
              <c:idx val="1"/>
              <c:layout>
                <c:manualLayout>
                  <c:x val="-4.6252822249589508E-2"/>
                  <c:y val="-2.1929824561403508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F12-484E-845F-0DA000CE38E9}"/>
                </c:ext>
              </c:extLst>
            </c:dLbl>
            <c:spPr>
              <a:noFill/>
              <a:ln w="19050" cap="flat" cmpd="sng" algn="ctr">
                <a:solidFill>
                  <a:sysClr val="windowText" lastClr="000000"/>
                </a:solidFill>
                <a:prstDash val="solid"/>
                <a:miter lim="800000"/>
              </a:ln>
              <a:effectLst>
                <a:softEdge rad="12700"/>
              </a:effectLst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Geral'!$B$9:$B$10</c:f>
              <c:numCache>
                <c:formatCode>_("R$"* #,##0.00_);_("R$"* \(#,##0.00\);_("R$"* "-"??_);_(@_)</c:formatCode>
                <c:ptCount val="2"/>
                <c:pt idx="0">
                  <c:v>76500</c:v>
                </c:pt>
                <c:pt idx="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84E-845F-0DA000CE38E9}"/>
            </c:ext>
          </c:extLst>
        </c:ser>
        <c:ser>
          <c:idx val="1"/>
          <c:order val="1"/>
          <c:tx>
            <c:strRef>
              <c:f>'Controle Geral'!$C$7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2E-47BF-8122-5D974E4745C1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2E-47BF-8122-5D974E4745C1}"/>
              </c:ext>
            </c:extLst>
          </c:dPt>
          <c:cat>
            <c:strRef>
              <c:f>'Controle Geral'!$A$9:$A$10</c:f>
              <c:strCache>
                <c:ptCount val="2"/>
                <c:pt idx="0">
                  <c:v>REALIZADO</c:v>
                </c:pt>
                <c:pt idx="1">
                  <c:v>COMPROMETIDO</c:v>
                </c:pt>
              </c:strCache>
            </c:strRef>
          </c:cat>
          <c:val>
            <c:numRef>
              <c:f>'Controle Geral'!$C$9:$C$10</c:f>
              <c:numCache>
                <c:formatCode>0.00%</c:formatCode>
                <c:ptCount val="2"/>
                <c:pt idx="0">
                  <c:v>0.85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12-484E-845F-0DA000CE3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371474</xdr:colOff>
      <xdr:row>4</xdr:row>
      <xdr:rowOff>190499</xdr:rowOff>
    </xdr:from>
    <xdr:to>
      <xdr:col>9</xdr:col>
      <xdr:colOff>514349</xdr:colOff>
      <xdr:row>24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674D98-1D24-7417-8797-DB6833504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9AF89F-7852-46FB-A16A-222C07D32A7A}" name="GERAL" displayName="GERAL" ref="A1:L4" totalsRowShown="0" headerRowDxfId="26">
  <autoFilter ref="A1:L4" xr:uid="{5A9AF89F-7852-46FB-A16A-222C07D32A7A}"/>
  <sortState xmlns:xlrd2="http://schemas.microsoft.com/office/spreadsheetml/2017/richdata2" ref="A2:K4">
    <sortCondition ref="A1:A4"/>
  </sortState>
  <tableColumns count="12">
    <tableColumn id="1" xr3:uid="{69C2B4A0-76C0-47DE-8461-CB932F9036A0}" name="NOME" dataDxfId="25"/>
    <tableColumn id="2" xr3:uid="{B09CE3D5-65F3-493A-97A1-D3A86BB195FC}" name="CPF" dataDxfId="24"/>
    <tableColumn id="3" xr3:uid="{4B768F7A-559C-4E24-8976-8BF291C43894}" name="CONTRATO" dataCellStyle="Moeda"/>
    <tableColumn id="4" xr3:uid="{DC8985DD-D085-4AF9-8EA2-BBCAEF15AB75}" name="PAGO" dataDxfId="23" dataCellStyle="Moeda">
      <calculatedColumnFormula>IFERROR(SUMIFS(PARCELAS[VALOR],PARCELAS[DATA],"&gt;0",PARCELAS[NOME],GERAL[[#This Row],[NOME]]),0)</calculatedColumnFormula>
    </tableColumn>
    <tableColumn id="5" xr3:uid="{77258575-A719-4463-B20D-2C9597071EBD}" name="SALDO" dataCellStyle="Moeda">
      <calculatedColumnFormula>GERAL[[#This Row],[CONTRATO]]-GERAL[[#This Row],[PAGO]]</calculatedColumnFormula>
    </tableColumn>
    <tableColumn id="6" xr3:uid="{ADF93E76-F1F4-4A44-8018-304BEBE63F2C}" name="STATUS" dataDxfId="22">
      <calculatedColumnFormula>IF(GERAL[[#This Row],[SALDO]]=0, "QUITADO","EM ABERTO")</calculatedColumnFormula>
    </tableColumn>
    <tableColumn id="7" xr3:uid="{77D57B57-FF68-4D06-948C-0842BAB56866}" name="BANCO" dataDxfId="21"/>
    <tableColumn id="8" xr3:uid="{53A85196-6E75-42CD-AF56-C7B62F9B93A2}" name="AG" dataDxfId="20"/>
    <tableColumn id="9" xr3:uid="{9497C838-668C-4260-95A6-133B2BCBFA1A}" name="CONTA" dataDxfId="19"/>
    <tableColumn id="12" xr3:uid="{B312F718-7D30-4252-B34B-D4FABB76D555}" name="OP" dataDxfId="18"/>
    <tableColumn id="10" xr3:uid="{D47EBE4E-094E-4B11-8887-71E75767B73A}" name="TIPO" dataDxfId="17"/>
    <tableColumn id="11" xr3:uid="{982BDEB1-C220-4815-BAC1-4E7D3CBF0CF3}" name="PIX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F19C76-0026-44ED-9C93-7505B00AC60E}" name="Tabela4" displayName="Tabela4" ref="A7:C10" totalsRowShown="0">
  <autoFilter ref="A7:C10" xr:uid="{DDF19C76-0026-44ED-9C93-7505B00AC60E}"/>
  <tableColumns count="3">
    <tableColumn id="1" xr3:uid="{835426BF-A796-4DC8-959F-69ABD2234E99}" name="ITEM"/>
    <tableColumn id="2" xr3:uid="{5A19B845-5313-4AD2-8746-83B74629EF51}" name="VALOR" dataCellStyle="Moeda"/>
    <tableColumn id="3" xr3:uid="{03251972-713C-449B-A33A-49CC74755C11}" name="%" dataDxfId="15" dataCellStyle="Porcenta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8EC43D-C8D9-42B1-A28C-3EE981487FA4}" name="PARCELAS" displayName="PARCELAS" ref="A1:M55" totalsRowShown="0" headerRowDxfId="13" dataDxfId="12">
  <autoFilter ref="A1:M55" xr:uid="{1C8EC43D-C8D9-42B1-A28C-3EE981487FA4}"/>
  <tableColumns count="13">
    <tableColumn id="1" xr3:uid="{83FB45A9-0238-4F6F-8448-F04303D7EE0C}" name="NOME" dataDxfId="11"/>
    <tableColumn id="7" xr3:uid="{EB156830-D62A-4EC9-AC52-284F4BBECF22}" name="CPF" dataDxfId="10">
      <calculatedColumnFormula>IFERROR(INDEX(GERAL[CPF],MATCH(PARCELAS[[#This Row],[NOME]],GERAL[NOME],0)),"-")</calculatedColumnFormula>
    </tableColumn>
    <tableColumn id="13" xr3:uid="{8DB1DA1A-0547-4C3A-B206-95BFC82C2A08}" name="PARCELA" dataDxfId="9">
      <calculatedColumnFormula>COUNTIF(PARCELAS[[#Headers],[NOME]]:PARCELAS[[#This Row],[NOME]],PARCELAS[[#This Row],[NOME]])</calculatedColumnFormula>
    </tableColumn>
    <tableColumn id="3" xr3:uid="{AF93DD71-4FA2-48A0-96DF-028EE205989B}" name="VALOR" dataDxfId="8" dataCellStyle="Moeda"/>
    <tableColumn id="2" xr3:uid="{F9F244E2-73BC-4240-A25F-AA9A6E520080}" name="DATA" dataDxfId="7"/>
    <tableColumn id="4" xr3:uid="{60F597AE-89A5-45CD-B87A-FF9E10ACE297}" name="FORMA PGTO" dataDxfId="6"/>
    <tableColumn id="9" xr3:uid="{4DF0E354-F44C-4B19-83D7-630CD7F43089}" name="CHAVE" dataDxfId="5">
      <calculatedColumnFormula>IFERROR(INDEX(GERAL[PIX],MATCH(PARCELAS[[#This Row],[NOME]],GERAL[NOME],0)),"-")</calculatedColumnFormula>
    </tableColumn>
    <tableColumn id="10" xr3:uid="{2475848A-0162-41D9-874A-42369B07991C}" name="BANCO"/>
    <tableColumn id="5" xr3:uid="{66E964B7-37DE-494A-AF0C-57C7824588B9}" name="SALDO" dataDxfId="4" dataCellStyle="Moeda">
      <calculatedColumnFormula array="1">IFERROR(IF(PARCELAS[[#This Row],[DATA]]&lt;&gt;"",30000 - SUMPRODUCT((PARCELAS[NOME]=PARCELAS[[#This Row],[NOME]])*(ROW(PARCELAS[NOME])&lt;=ROW(PARCELAS[[#This Row],[NOME]]))*PARCELAS[VALOR]),I1),"")</calculatedColumnFormula>
    </tableColumn>
    <tableColumn id="6" xr3:uid="{B50301B3-637F-4E13-B14C-3D2101A57D50}" name="DIA" dataDxfId="3">
      <calculatedColumnFormula>IF(DAY(PARCELAS[[#This Row],[DATA]])=0,"",TEXT(DAY(PARCELAS[[#This Row],[DATA]]),"00"))</calculatedColumnFormula>
    </tableColumn>
    <tableColumn id="8" xr3:uid="{EBE30309-E47D-4C10-9AC0-3AC947FBBCC7}" name="MÊS" dataDxfId="2">
      <calculatedColumnFormula>IF(PARCELAS[[#This Row],[DATA]]="","",INDEX(MESES[MÊS],MATCH(MONTH(PARCELAS[[#This Row],[DATA]]),MESES[N],0)))</calculatedColumnFormula>
    </tableColumn>
    <tableColumn id="11" xr3:uid="{453941C9-C5FE-4CA9-BCDC-3B8C28578D4F}" name="ANO" dataDxfId="1">
      <calculatedColumnFormula>IF(YEAR(PARCELAS[[#This Row],[DATA]])=1900,"",YEAR(PARCELAS[[#This Row],[DATA]]))</calculatedColumnFormula>
    </tableColumn>
    <tableColumn id="12" xr3:uid="{99816188-0771-4606-BDD8-217660DF8D06}" name="CIDADE / UF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F36978-3262-4F4F-A263-04756980D0A0}" name="MESES" displayName="MESES" ref="P1:Q13" totalsRowShown="0">
  <autoFilter ref="P1:Q13" xr:uid="{44F36978-3262-4F4F-A263-04756980D0A0}"/>
  <tableColumns count="2">
    <tableColumn id="2" xr3:uid="{8EBB8105-4E54-4238-9DD5-C80AB7E5AB75}" name="N"/>
    <tableColumn id="1" xr3:uid="{852D511A-CA6B-447E-A4DD-D7CBEC2FD918}" name="MÊ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E9432-7227-4890-B01A-24440B8FF19F}">
  <dimension ref="A1:L20"/>
  <sheetViews>
    <sheetView workbookViewId="0">
      <selection activeCell="D3" sqref="D3"/>
    </sheetView>
  </sheetViews>
  <sheetFormatPr defaultRowHeight="15"/>
  <cols>
    <col min="1" max="1" width="41.42578125" bestFit="1" customWidth="1"/>
    <col min="2" max="2" width="14" bestFit="1" customWidth="1"/>
    <col min="3" max="3" width="15.7109375" bestFit="1" customWidth="1"/>
    <col min="4" max="4" width="14.5703125" bestFit="1" customWidth="1"/>
    <col min="5" max="5" width="14.85546875" bestFit="1" customWidth="1"/>
    <col min="6" max="6" width="12.28515625" bestFit="1" customWidth="1"/>
    <col min="7" max="7" width="25.85546875" bestFit="1" customWidth="1"/>
    <col min="8" max="8" width="8.140625" bestFit="1" customWidth="1"/>
    <col min="9" max="9" width="12" bestFit="1" customWidth="1"/>
    <col min="10" max="10" width="12" customWidth="1"/>
    <col min="11" max="11" width="10.85546875" bestFit="1" customWidth="1"/>
    <col min="12" max="12" width="14.285156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s="2" t="s">
        <v>13</v>
      </c>
      <c r="C2" s="3">
        <v>30000</v>
      </c>
      <c r="D2" s="3">
        <f>IFERROR(SUMIFS(PARCELAS[VALOR],PARCELAS[DATA],"&gt;0",PARCELAS[NOME],GERAL[[#This Row],[NOME]]),0)</f>
        <v>25500</v>
      </c>
      <c r="E2" s="3">
        <f>GERAL[[#This Row],[CONTRATO]]-GERAL[[#This Row],[PAGO]]</f>
        <v>4500</v>
      </c>
      <c r="F2" t="str">
        <f>IF(GERAL[[#This Row],[SALDO]]=0, "QUITADO","EM ABERTO")</f>
        <v>EM ABERTO</v>
      </c>
      <c r="G2" t="s">
        <v>14</v>
      </c>
      <c r="H2">
        <v>3693</v>
      </c>
      <c r="I2" t="s">
        <v>15</v>
      </c>
      <c r="J2" s="1">
        <v>1288</v>
      </c>
      <c r="K2" t="s">
        <v>16</v>
      </c>
      <c r="L2" s="2" t="s">
        <v>13</v>
      </c>
    </row>
    <row r="3" spans="1:12">
      <c r="A3" t="s">
        <v>17</v>
      </c>
      <c r="B3" s="2" t="s">
        <v>18</v>
      </c>
      <c r="C3" s="3">
        <v>30000</v>
      </c>
      <c r="D3" s="3">
        <f>IFERROR(SUMIFS(PARCELAS[VALOR],PARCELAS[DATA],"&gt;0",PARCELAS[NOME],GERAL[[#This Row],[NOME]]),0)</f>
        <v>25500</v>
      </c>
      <c r="E3" s="3">
        <f>GERAL[[#This Row],[CONTRATO]]-GERAL[[#This Row],[PAGO]]</f>
        <v>4500</v>
      </c>
      <c r="F3" t="str">
        <f>IF(GERAL[[#This Row],[SALDO]]=0, "QUITADO","EM ABERTO")</f>
        <v>EM ABERTO</v>
      </c>
      <c r="G3" t="s">
        <v>19</v>
      </c>
      <c r="H3">
        <v>1</v>
      </c>
      <c r="I3" t="s">
        <v>20</v>
      </c>
      <c r="J3" s="1" t="s">
        <v>21</v>
      </c>
      <c r="K3" t="s">
        <v>22</v>
      </c>
      <c r="L3" s="2" t="s">
        <v>18</v>
      </c>
    </row>
    <row r="4" spans="1:12">
      <c r="A4" t="s">
        <v>23</v>
      </c>
      <c r="B4" s="2" t="s">
        <v>24</v>
      </c>
      <c r="C4" s="3">
        <v>30000</v>
      </c>
      <c r="D4" s="3">
        <f>IFERROR(SUMIFS(PARCELAS[VALOR],PARCELAS[DATA],"&gt;0",PARCELAS[NOME],GERAL[[#This Row],[NOME]]),0)</f>
        <v>25500</v>
      </c>
      <c r="E4" s="3">
        <f>GERAL[[#This Row],[CONTRATO]]-GERAL[[#This Row],[PAGO]]</f>
        <v>4500</v>
      </c>
      <c r="F4" t="str">
        <f>IF(GERAL[[#This Row],[SALDO]]=0, "QUITADO","EM ABERTO")</f>
        <v>EM ABERTO</v>
      </c>
      <c r="G4" t="s">
        <v>14</v>
      </c>
      <c r="H4">
        <v>2047</v>
      </c>
      <c r="I4" t="s">
        <v>25</v>
      </c>
      <c r="J4" s="1">
        <v>1288</v>
      </c>
      <c r="K4" t="s">
        <v>16</v>
      </c>
      <c r="L4" t="s">
        <v>26</v>
      </c>
    </row>
    <row r="7" spans="1:12">
      <c r="A7" t="s">
        <v>27</v>
      </c>
      <c r="B7" t="s">
        <v>28</v>
      </c>
      <c r="C7" t="s">
        <v>29</v>
      </c>
    </row>
    <row r="8" spans="1:12">
      <c r="A8" s="19" t="s">
        <v>30</v>
      </c>
      <c r="B8" s="20">
        <f>SUM(GERAL[CONTRATO])</f>
        <v>90000</v>
      </c>
      <c r="C8" s="21">
        <f>B8/B8</f>
        <v>1</v>
      </c>
      <c r="D8" s="17"/>
    </row>
    <row r="9" spans="1:12">
      <c r="A9" t="s">
        <v>31</v>
      </c>
      <c r="B9" s="3">
        <f>SUM(GERAL[PAGO])</f>
        <v>76500</v>
      </c>
      <c r="C9" s="18">
        <f>B9/B8</f>
        <v>0.85</v>
      </c>
    </row>
    <row r="10" spans="1:12">
      <c r="A10" t="s">
        <v>32</v>
      </c>
      <c r="B10" s="3">
        <f>B8-B9</f>
        <v>13500</v>
      </c>
      <c r="C10" s="18">
        <f>B10/B8</f>
        <v>0.15</v>
      </c>
    </row>
    <row r="20" spans="2:2">
      <c r="B20" s="2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04A6-D1CF-4996-9D02-2AA11998FFE1}">
  <dimension ref="A1:Q55"/>
  <sheetViews>
    <sheetView tabSelected="1" topLeftCell="L1" workbookViewId="0">
      <selection activeCell="O1" sqref="O1:O1048576"/>
    </sheetView>
  </sheetViews>
  <sheetFormatPr defaultRowHeight="15"/>
  <cols>
    <col min="1" max="1" width="46" bestFit="1" customWidth="1"/>
    <col min="2" max="2" width="15.5703125" bestFit="1" customWidth="1"/>
    <col min="3" max="3" width="15.5703125" customWidth="1"/>
    <col min="4" max="4" width="15.7109375" bestFit="1" customWidth="1"/>
    <col min="5" max="5" width="11.85546875" bestFit="1" customWidth="1"/>
    <col min="6" max="6" width="18.42578125" bestFit="1" customWidth="1"/>
    <col min="7" max="7" width="15.85546875" bestFit="1" customWidth="1"/>
    <col min="8" max="8" width="28.7109375" bestFit="1" customWidth="1"/>
    <col min="9" max="9" width="15.7109375" bestFit="1" customWidth="1"/>
    <col min="11" max="11" width="10.28515625" bestFit="1" customWidth="1"/>
    <col min="12" max="12" width="9.85546875" bestFit="1" customWidth="1"/>
    <col min="13" max="13" width="23.42578125" bestFit="1" customWidth="1"/>
    <col min="14" max="14" width="9.28515625" customWidth="1"/>
  </cols>
  <sheetData>
    <row r="1" spans="1:17" ht="15.75">
      <c r="A1" s="4" t="s">
        <v>0</v>
      </c>
      <c r="B1" s="5" t="s">
        <v>1</v>
      </c>
      <c r="C1" s="5" t="s">
        <v>33</v>
      </c>
      <c r="D1" s="6" t="s">
        <v>28</v>
      </c>
      <c r="E1" s="6" t="s">
        <v>34</v>
      </c>
      <c r="F1" s="6" t="s">
        <v>35</v>
      </c>
      <c r="G1" s="7" t="s">
        <v>36</v>
      </c>
      <c r="H1" s="7" t="s">
        <v>6</v>
      </c>
      <c r="I1" s="7" t="s">
        <v>4</v>
      </c>
      <c r="J1" s="7" t="s">
        <v>37</v>
      </c>
      <c r="K1" s="7" t="s">
        <v>38</v>
      </c>
      <c r="L1" s="7" t="s">
        <v>39</v>
      </c>
      <c r="M1" s="7" t="s">
        <v>40</v>
      </c>
      <c r="P1" t="s">
        <v>41</v>
      </c>
      <c r="Q1" t="s">
        <v>38</v>
      </c>
    </row>
    <row r="2" spans="1:17" ht="15.75">
      <c r="A2" s="8" t="s">
        <v>12</v>
      </c>
      <c r="B2" s="5" t="str">
        <f>IFERROR(INDEX(GERAL[CPF],MATCH(PARCELAS[[#This Row],[NOME]],GERAL[NOME],0)),"-")</f>
        <v>046.931.264-54</v>
      </c>
      <c r="C2" s="16">
        <f ca="1">COUNTIF(PARCELAS[[#Headers],[NOME]]:PARCELAS[[#This Row],[NOME]],PARCELAS[[#This Row],[NOME]])</f>
        <v>1</v>
      </c>
      <c r="D2" s="10">
        <v>10000</v>
      </c>
      <c r="E2" s="9">
        <v>45894</v>
      </c>
      <c r="F2" s="11" t="s">
        <v>11</v>
      </c>
      <c r="G2" s="12" t="str">
        <f>IFERROR(INDEX(GERAL[PIX],MATCH(PARCELAS[[#This Row],[NOME]],GERAL[NOME],0)),"-")</f>
        <v>046.931.264-54</v>
      </c>
      <c r="H2" t="s">
        <v>42</v>
      </c>
      <c r="I2" s="14" cm="1">
        <f t="array" ref="I2">IFERROR(IF(PARCELAS[[#This Row],[DATA]]&lt;&gt;"",30000 - SUMPRODUCT((PARCELAS[NOME]=PARCELAS[[#This Row],[NOME]])*(ROW(PARCELAS[NOME])&lt;=ROW(PARCELAS[[#This Row],[NOME]]))*PARCELAS[VALOR]),I1),"")</f>
        <v>20000</v>
      </c>
      <c r="J2" s="12" t="str">
        <f>IF(DAY(PARCELAS[[#This Row],[DATA]])=0,"",TEXT(DAY(PARCELAS[[#This Row],[DATA]]),"00"))</f>
        <v>25</v>
      </c>
      <c r="K2" s="13" t="str">
        <f>IF(PARCELAS[[#This Row],[DATA]]="","",INDEX(MESES[MÊS],MATCH(MONTH(PARCELAS[[#This Row],[DATA]]),MESES[N],0)))</f>
        <v>agosto</v>
      </c>
      <c r="L2" s="12">
        <f>IF(YEAR(PARCELAS[[#This Row],[DATA]])=1900,"",YEAR(PARCELAS[[#This Row],[DATA]]))</f>
        <v>2025</v>
      </c>
      <c r="M2" t="s">
        <v>43</v>
      </c>
      <c r="P2">
        <v>1</v>
      </c>
      <c r="Q2" t="s">
        <v>44</v>
      </c>
    </row>
    <row r="3" spans="1:17" ht="15.75">
      <c r="A3" s="8" t="s">
        <v>17</v>
      </c>
      <c r="B3" s="5" t="str">
        <f>IFERROR(INDEX(GERAL[CPF],MATCH(PARCELAS[[#This Row],[NOME]],GERAL[NOME],0)),"-")</f>
        <v>064.142.434-50</v>
      </c>
      <c r="C3" s="16">
        <f ca="1">COUNTIF(PARCELAS[[#Headers],[NOME]]:PARCELAS[[#This Row],[NOME]],PARCELAS[[#This Row],[NOME]])</f>
        <v>1</v>
      </c>
      <c r="D3" s="10">
        <v>10000</v>
      </c>
      <c r="E3" s="9">
        <v>45894</v>
      </c>
      <c r="F3" s="11" t="s">
        <v>11</v>
      </c>
      <c r="G3" s="12" t="str">
        <f>IFERROR(INDEX(GERAL[PIX],MATCH(PARCELAS[[#This Row],[NOME]],GERAL[NOME],0)),"-")</f>
        <v>064.142.434-50</v>
      </c>
      <c r="H3" t="s">
        <v>45</v>
      </c>
      <c r="I3" s="14" cm="1">
        <f t="array" ref="I3">IFERROR(IF(PARCELAS[[#This Row],[DATA]]&lt;&gt;"",30000 - SUMPRODUCT((PARCELAS[NOME]=PARCELAS[[#This Row],[NOME]])*(ROW(PARCELAS[NOME])&lt;=ROW(PARCELAS[[#This Row],[NOME]]))*PARCELAS[VALOR]),I2),"")</f>
        <v>20000</v>
      </c>
      <c r="J3" s="12" t="str">
        <f>IF(DAY(PARCELAS[[#This Row],[DATA]])=0,"",TEXT(DAY(PARCELAS[[#This Row],[DATA]]),"00"))</f>
        <v>25</v>
      </c>
      <c r="K3" s="13" t="str">
        <f>IF(PARCELAS[[#This Row],[DATA]]="","",INDEX(MESES[MÊS],MATCH(MONTH(PARCELAS[[#This Row],[DATA]]),MESES[N],0)))</f>
        <v>agosto</v>
      </c>
      <c r="L3" s="12">
        <f>IF(YEAR(PARCELAS[[#This Row],[DATA]])=1900,"",YEAR(PARCELAS[[#This Row],[DATA]]))</f>
        <v>2025</v>
      </c>
      <c r="M3" s="15" t="s">
        <v>46</v>
      </c>
      <c r="P3">
        <v>2</v>
      </c>
      <c r="Q3" t="s">
        <v>47</v>
      </c>
    </row>
    <row r="4" spans="1:17" ht="15.75">
      <c r="A4" s="8" t="s">
        <v>23</v>
      </c>
      <c r="B4" s="5" t="str">
        <f>IFERROR(INDEX(GERAL[CPF],MATCH(PARCELAS[[#This Row],[NOME]],GERAL[NOME],0)),"-")</f>
        <v>341.267.018-93</v>
      </c>
      <c r="C4" s="16">
        <f ca="1">COUNTIF(PARCELAS[[#Headers],[NOME]]:PARCELAS[[#This Row],[NOME]],PARCELAS[[#This Row],[NOME]])</f>
        <v>1</v>
      </c>
      <c r="D4" s="10">
        <v>10000</v>
      </c>
      <c r="E4" s="9">
        <v>45894</v>
      </c>
      <c r="F4" s="11" t="s">
        <v>11</v>
      </c>
      <c r="G4" s="12" t="str">
        <f>IFERROR(INDEX(GERAL[PIX],MATCH(PARCELAS[[#This Row],[NOME]],GERAL[NOME],0)),"-")</f>
        <v>(82)99929-1488</v>
      </c>
      <c r="H4" t="s">
        <v>42</v>
      </c>
      <c r="I4" s="14" cm="1">
        <f t="array" ref="I4">IFERROR(IF(PARCELAS[[#This Row],[DATA]]&lt;&gt;"",30000 - SUMPRODUCT((PARCELAS[NOME]=PARCELAS[[#This Row],[NOME]])*(ROW(PARCELAS[NOME])&lt;=ROW(PARCELAS[[#This Row],[NOME]]))*PARCELAS[VALOR]),I3),"")</f>
        <v>20000</v>
      </c>
      <c r="J4" s="12" t="str">
        <f>IF(DAY(PARCELAS[[#This Row],[DATA]])=0,"",TEXT(DAY(PARCELAS[[#This Row],[DATA]]),"00"))</f>
        <v>25</v>
      </c>
      <c r="K4" s="13" t="str">
        <f>IF(PARCELAS[[#This Row],[DATA]]="","",INDEX(MESES[MÊS],MATCH(MONTH(PARCELAS[[#This Row],[DATA]]),MESES[N],0)))</f>
        <v>agosto</v>
      </c>
      <c r="L4" s="12">
        <f>IF(YEAR(PARCELAS[[#This Row],[DATA]])=1900,"",YEAR(PARCELAS[[#This Row],[DATA]]))</f>
        <v>2025</v>
      </c>
      <c r="M4" s="15" t="s">
        <v>46</v>
      </c>
      <c r="P4">
        <v>3</v>
      </c>
      <c r="Q4" t="s">
        <v>48</v>
      </c>
    </row>
    <row r="5" spans="1:17" ht="15.75">
      <c r="A5" s="8" t="s">
        <v>12</v>
      </c>
      <c r="B5" s="5" t="str">
        <f>IFERROR(INDEX(GERAL[CPF],MATCH(PARCELAS[[#This Row],[NOME]],GERAL[NOME],0)),"-")</f>
        <v>046.931.264-54</v>
      </c>
      <c r="C5" s="16">
        <f ca="1">COUNTIF(PARCELAS[[#Headers],[NOME]]:PARCELAS[[#This Row],[NOME]],PARCELAS[[#This Row],[NOME]])</f>
        <v>2</v>
      </c>
      <c r="D5" s="10">
        <v>500</v>
      </c>
      <c r="E5" s="9">
        <v>45937</v>
      </c>
      <c r="F5" s="11" t="s">
        <v>11</v>
      </c>
      <c r="G5" s="12" t="str">
        <f>IFERROR(INDEX(GERAL[PIX],MATCH(PARCELAS[[#This Row],[NOME]],GERAL[NOME],0)),"-")</f>
        <v>046.931.264-54</v>
      </c>
      <c r="H5" t="s">
        <v>42</v>
      </c>
      <c r="I5" s="14" cm="1">
        <f t="array" ref="I5">IFERROR(IF(PARCELAS[[#This Row],[DATA]]&lt;&gt;"",30000 - SUMPRODUCT((PARCELAS[NOME]=PARCELAS[[#This Row],[NOME]])*(ROW(PARCELAS[NOME])&lt;=ROW(PARCELAS[[#This Row],[NOME]]))*PARCELAS[VALOR]),I4),"")</f>
        <v>19500</v>
      </c>
      <c r="J5" s="12" t="str">
        <f>IF(DAY(PARCELAS[[#This Row],[DATA]])=0,"",TEXT(DAY(PARCELAS[[#This Row],[DATA]]),"00"))</f>
        <v>07</v>
      </c>
      <c r="K5" s="13" t="str">
        <f>IF(PARCELAS[[#This Row],[DATA]]="","",INDEX(MESES[MÊS],MATCH(MONTH(PARCELAS[[#This Row],[DATA]]),MESES[N],0)))</f>
        <v>outubro</v>
      </c>
      <c r="L5" s="12">
        <f>IF(YEAR(PARCELAS[[#This Row],[DATA]])=1900,"",YEAR(PARCELAS[[#This Row],[DATA]]))</f>
        <v>2025</v>
      </c>
      <c r="M5" t="s">
        <v>43</v>
      </c>
      <c r="P5">
        <v>4</v>
      </c>
      <c r="Q5" t="s">
        <v>49</v>
      </c>
    </row>
    <row r="6" spans="1:17" ht="15.75">
      <c r="A6" s="8" t="s">
        <v>17</v>
      </c>
      <c r="B6" s="5" t="str">
        <f>IFERROR(INDEX(GERAL[CPF],MATCH(PARCELAS[[#This Row],[NOME]],GERAL[NOME],0)),"-")</f>
        <v>064.142.434-50</v>
      </c>
      <c r="C6" s="16">
        <f ca="1">COUNTIF(PARCELAS[[#Headers],[NOME]]:PARCELAS[[#This Row],[NOME]],PARCELAS[[#This Row],[NOME]])</f>
        <v>2</v>
      </c>
      <c r="D6" s="10">
        <v>500</v>
      </c>
      <c r="E6" s="9">
        <v>45937</v>
      </c>
      <c r="F6" s="11" t="s">
        <v>11</v>
      </c>
      <c r="G6" s="12" t="str">
        <f>IFERROR(INDEX(GERAL[PIX],MATCH(PARCELAS[[#This Row],[NOME]],GERAL[NOME],0)),"-")</f>
        <v>064.142.434-50</v>
      </c>
      <c r="H6" t="s">
        <v>45</v>
      </c>
      <c r="I6" s="14" cm="1">
        <f t="array" ref="I6">IFERROR(IF(PARCELAS[[#This Row],[DATA]]&lt;&gt;"",30000 - SUMPRODUCT((PARCELAS[NOME]=PARCELAS[[#This Row],[NOME]])*(ROW(PARCELAS[NOME])&lt;=ROW(PARCELAS[[#This Row],[NOME]]))*PARCELAS[VALOR]),I5),"")</f>
        <v>19500</v>
      </c>
      <c r="J6" s="12" t="str">
        <f>IF(DAY(PARCELAS[[#This Row],[DATA]])=0,"",TEXT(DAY(PARCELAS[[#This Row],[DATA]]),"00"))</f>
        <v>07</v>
      </c>
      <c r="K6" s="13" t="str">
        <f>IF(PARCELAS[[#This Row],[DATA]]="","",INDEX(MESES[MÊS],MATCH(MONTH(PARCELAS[[#This Row],[DATA]]),MESES[N],0)))</f>
        <v>outubro</v>
      </c>
      <c r="L6" s="12">
        <f>IF(YEAR(PARCELAS[[#This Row],[DATA]])=1900,"",YEAR(PARCELAS[[#This Row],[DATA]]))</f>
        <v>2025</v>
      </c>
      <c r="M6" s="15" t="s">
        <v>46</v>
      </c>
      <c r="P6">
        <v>5</v>
      </c>
      <c r="Q6" t="s">
        <v>50</v>
      </c>
    </row>
    <row r="7" spans="1:17" ht="15.75">
      <c r="A7" s="8" t="s">
        <v>23</v>
      </c>
      <c r="B7" s="5" t="str">
        <f>IFERROR(INDEX(GERAL[CPF],MATCH(PARCELAS[[#This Row],[NOME]],GERAL[NOME],0)),"-")</f>
        <v>341.267.018-93</v>
      </c>
      <c r="C7" s="16">
        <f ca="1">COUNTIF(PARCELAS[[#Headers],[NOME]]:PARCELAS[[#This Row],[NOME]],PARCELAS[[#This Row],[NOME]])</f>
        <v>2</v>
      </c>
      <c r="D7" s="10">
        <v>500</v>
      </c>
      <c r="E7" s="9">
        <v>45937</v>
      </c>
      <c r="F7" s="11" t="s">
        <v>11</v>
      </c>
      <c r="G7" s="12" t="str">
        <f>IFERROR(INDEX(GERAL[PIX],MATCH(PARCELAS[[#This Row],[NOME]],GERAL[NOME],0)),"-")</f>
        <v>(82)99929-1488</v>
      </c>
      <c r="H7" t="s">
        <v>42</v>
      </c>
      <c r="I7" s="14" cm="1">
        <f t="array" ref="I7">IFERROR(IF(PARCELAS[[#This Row],[DATA]]&lt;&gt;"",30000 - SUMPRODUCT((PARCELAS[NOME]=PARCELAS[[#This Row],[NOME]])*(ROW(PARCELAS[NOME])&lt;=ROW(PARCELAS[[#This Row],[NOME]]))*PARCELAS[VALOR]),I6),"")</f>
        <v>19500</v>
      </c>
      <c r="J7" s="12" t="str">
        <f>IF(DAY(PARCELAS[[#This Row],[DATA]])=0,"",TEXT(DAY(PARCELAS[[#This Row],[DATA]]),"00"))</f>
        <v>07</v>
      </c>
      <c r="K7" s="13" t="str">
        <f>IF(PARCELAS[[#This Row],[DATA]]="","",INDEX(MESES[MÊS],MATCH(MONTH(PARCELAS[[#This Row],[DATA]]),MESES[N],0)))</f>
        <v>outubro</v>
      </c>
      <c r="L7" s="12">
        <f>IF(YEAR(PARCELAS[[#This Row],[DATA]])=1900,"",YEAR(PARCELAS[[#This Row],[DATA]]))</f>
        <v>2025</v>
      </c>
      <c r="M7" s="15" t="s">
        <v>46</v>
      </c>
      <c r="P7">
        <v>6</v>
      </c>
      <c r="Q7" t="s">
        <v>51</v>
      </c>
    </row>
    <row r="8" spans="1:17" ht="15.75">
      <c r="A8" s="8" t="s">
        <v>12</v>
      </c>
      <c r="B8" s="5" t="str">
        <f>IFERROR(INDEX(GERAL[CPF],MATCH(PARCELAS[[#This Row],[NOME]],GERAL[NOME],0)),"-")</f>
        <v>046.931.264-54</v>
      </c>
      <c r="C8" s="16">
        <f ca="1">COUNTIF(PARCELAS[[#Headers],[NOME]]:PARCELAS[[#This Row],[NOME]],PARCELAS[[#This Row],[NOME]])</f>
        <v>3</v>
      </c>
      <c r="D8" s="10">
        <v>5000</v>
      </c>
      <c r="E8" s="9">
        <v>45972</v>
      </c>
      <c r="F8" s="11" t="s">
        <v>11</v>
      </c>
      <c r="G8" s="12" t="str">
        <f>IFERROR(INDEX(GERAL[PIX],MATCH(PARCELAS[[#This Row],[NOME]],GERAL[NOME],0)),"-")</f>
        <v>046.931.264-54</v>
      </c>
      <c r="H8" t="s">
        <v>42</v>
      </c>
      <c r="I8" s="14" cm="1">
        <f t="array" ref="I8">IFERROR(IF(PARCELAS[[#This Row],[DATA]]&lt;&gt;"",30000 - SUMPRODUCT((PARCELAS[NOME]=PARCELAS[[#This Row],[NOME]])*(ROW(PARCELAS[NOME])&lt;=ROW(PARCELAS[[#This Row],[NOME]]))*PARCELAS[VALOR]),I7),"")</f>
        <v>14500</v>
      </c>
      <c r="J8" s="12" t="str">
        <f>IF(DAY(PARCELAS[[#This Row],[DATA]])=0,"",TEXT(DAY(PARCELAS[[#This Row],[DATA]]),"00"))</f>
        <v>11</v>
      </c>
      <c r="K8" s="13" t="str">
        <f>IF(PARCELAS[[#This Row],[DATA]]="","",INDEX(MESES[MÊS],MATCH(MONTH(PARCELAS[[#This Row],[DATA]]),MESES[N],0)))</f>
        <v>novembro</v>
      </c>
      <c r="L8" s="12">
        <f>IF(YEAR(PARCELAS[[#This Row],[DATA]])=1900,"",YEAR(PARCELAS[[#This Row],[DATA]]))</f>
        <v>2025</v>
      </c>
      <c r="M8" t="s">
        <v>43</v>
      </c>
      <c r="P8">
        <v>7</v>
      </c>
      <c r="Q8" t="s">
        <v>52</v>
      </c>
    </row>
    <row r="9" spans="1:17" ht="15.75">
      <c r="A9" s="8" t="s">
        <v>17</v>
      </c>
      <c r="B9" s="5" t="str">
        <f>IFERROR(INDEX(GERAL[CPF],MATCH(PARCELAS[[#This Row],[NOME]],GERAL[NOME],0)),"-")</f>
        <v>064.142.434-50</v>
      </c>
      <c r="C9" s="16">
        <f ca="1">COUNTIF(PARCELAS[[#Headers],[NOME]]:PARCELAS[[#This Row],[NOME]],PARCELAS[[#This Row],[NOME]])</f>
        <v>3</v>
      </c>
      <c r="D9" s="10">
        <v>5000</v>
      </c>
      <c r="E9" s="9">
        <v>45972</v>
      </c>
      <c r="F9" s="11" t="s">
        <v>11</v>
      </c>
      <c r="G9" s="12" t="str">
        <f>IFERROR(INDEX(GERAL[PIX],MATCH(PARCELAS[[#This Row],[NOME]],GERAL[NOME],0)),"-")</f>
        <v>064.142.434-50</v>
      </c>
      <c r="H9" t="s">
        <v>45</v>
      </c>
      <c r="I9" s="14" cm="1">
        <f t="array" ref="I9">IFERROR(IF(PARCELAS[[#This Row],[DATA]]&lt;&gt;"",30000 - SUMPRODUCT((PARCELAS[NOME]=PARCELAS[[#This Row],[NOME]])*(ROW(PARCELAS[NOME])&lt;=ROW(PARCELAS[[#This Row],[NOME]]))*PARCELAS[VALOR]),I8),"")</f>
        <v>14500</v>
      </c>
      <c r="J9" s="12" t="str">
        <f>IF(DAY(PARCELAS[[#This Row],[DATA]])=0,"",TEXT(DAY(PARCELAS[[#This Row],[DATA]]),"00"))</f>
        <v>11</v>
      </c>
      <c r="K9" s="13" t="str">
        <f>IF(PARCELAS[[#This Row],[DATA]]="","",INDEX(MESES[MÊS],MATCH(MONTH(PARCELAS[[#This Row],[DATA]]),MESES[N],0)))</f>
        <v>novembro</v>
      </c>
      <c r="L9" s="12">
        <f>IF(YEAR(PARCELAS[[#This Row],[DATA]])=1900,"",YEAR(PARCELAS[[#This Row],[DATA]]))</f>
        <v>2025</v>
      </c>
      <c r="M9" s="15" t="s">
        <v>46</v>
      </c>
      <c r="P9">
        <v>8</v>
      </c>
      <c r="Q9" t="s">
        <v>53</v>
      </c>
    </row>
    <row r="10" spans="1:17" ht="15.75">
      <c r="A10" s="8" t="s">
        <v>23</v>
      </c>
      <c r="B10" s="5" t="str">
        <f>IFERROR(INDEX(GERAL[CPF],MATCH(PARCELAS[[#This Row],[NOME]],GERAL[NOME],0)),"-")</f>
        <v>341.267.018-93</v>
      </c>
      <c r="C10" s="16">
        <f ca="1">COUNTIF(PARCELAS[[#Headers],[NOME]]:PARCELAS[[#This Row],[NOME]],PARCELAS[[#This Row],[NOME]])</f>
        <v>3</v>
      </c>
      <c r="D10" s="10">
        <v>5000</v>
      </c>
      <c r="E10" s="9">
        <v>45972</v>
      </c>
      <c r="F10" s="11" t="s">
        <v>11</v>
      </c>
      <c r="G10" s="12" t="str">
        <f>IFERROR(INDEX(GERAL[PIX],MATCH(PARCELAS[[#This Row],[NOME]],GERAL[NOME],0)),"-")</f>
        <v>(82)99929-1488</v>
      </c>
      <c r="H10" t="s">
        <v>42</v>
      </c>
      <c r="I10" s="14" cm="1">
        <f t="array" ref="I10">IFERROR(IF(PARCELAS[[#This Row],[DATA]]&lt;&gt;"",30000 - SUMPRODUCT((PARCELAS[NOME]=PARCELAS[[#This Row],[NOME]])*(ROW(PARCELAS[NOME])&lt;=ROW(PARCELAS[[#This Row],[NOME]]))*PARCELAS[VALOR]),I9),"")</f>
        <v>14500</v>
      </c>
      <c r="J10" s="12" t="str">
        <f>IF(DAY(PARCELAS[[#This Row],[DATA]])=0,"",TEXT(DAY(PARCELAS[[#This Row],[DATA]]),"00"))</f>
        <v>11</v>
      </c>
      <c r="K10" s="13" t="str">
        <f>IF(PARCELAS[[#This Row],[DATA]]="","",INDEX(MESES[MÊS],MATCH(MONTH(PARCELAS[[#This Row],[DATA]]),MESES[N],0)))</f>
        <v>novembro</v>
      </c>
      <c r="L10" s="12">
        <f>IF(YEAR(PARCELAS[[#This Row],[DATA]])=1900,"",YEAR(PARCELAS[[#This Row],[DATA]]))</f>
        <v>2025</v>
      </c>
      <c r="M10" s="15" t="s">
        <v>46</v>
      </c>
      <c r="P10">
        <v>9</v>
      </c>
      <c r="Q10" t="s">
        <v>54</v>
      </c>
    </row>
    <row r="11" spans="1:17" ht="15.75">
      <c r="A11" s="8" t="s">
        <v>12</v>
      </c>
      <c r="B11" s="5" t="str">
        <f>IFERROR(INDEX(GERAL[CPF],MATCH(PARCELAS[[#This Row],[NOME]],GERAL[NOME],0)),"-")</f>
        <v>046.931.264-54</v>
      </c>
      <c r="C11" s="16">
        <f ca="1">COUNTIF(PARCELAS[[#Headers],[NOME]]:PARCELAS[[#This Row],[NOME]],PARCELAS[[#This Row],[NOME]])</f>
        <v>4</v>
      </c>
      <c r="D11" s="10">
        <v>1000</v>
      </c>
      <c r="E11" s="9">
        <v>45999</v>
      </c>
      <c r="F11" s="11" t="s">
        <v>11</v>
      </c>
      <c r="G11" s="12" t="str">
        <f>IFERROR(INDEX(GERAL[PIX],MATCH(PARCELAS[[#This Row],[NOME]],GERAL[NOME],0)),"-")</f>
        <v>046.931.264-54</v>
      </c>
      <c r="H11" t="s">
        <v>42</v>
      </c>
      <c r="I11" s="14" cm="1">
        <f t="array" ref="I11">IFERROR(IF(PARCELAS[[#This Row],[DATA]]&lt;&gt;"",30000 - SUMPRODUCT((PARCELAS[NOME]=PARCELAS[[#This Row],[NOME]])*(ROW(PARCELAS[NOME])&lt;=ROW(PARCELAS[[#This Row],[NOME]]))*PARCELAS[VALOR]),I10),"")</f>
        <v>13500</v>
      </c>
      <c r="J11" s="12" t="str">
        <f>IF(DAY(PARCELAS[[#This Row],[DATA]])=0,"",TEXT(DAY(PARCELAS[[#This Row],[DATA]]),"00"))</f>
        <v>08</v>
      </c>
      <c r="K11" s="13" t="str">
        <f>IF(PARCELAS[[#This Row],[DATA]]="","",INDEX(MESES[MÊS],MATCH(MONTH(PARCELAS[[#This Row],[DATA]]),MESES[N],0)))</f>
        <v>dezembro</v>
      </c>
      <c r="L11" s="12">
        <f>IF(YEAR(PARCELAS[[#This Row],[DATA]])=1900,"",YEAR(PARCELAS[[#This Row],[DATA]]))</f>
        <v>2025</v>
      </c>
      <c r="M11" t="s">
        <v>43</v>
      </c>
      <c r="P11">
        <v>10</v>
      </c>
      <c r="Q11" t="s">
        <v>55</v>
      </c>
    </row>
    <row r="12" spans="1:17" ht="15.75">
      <c r="A12" s="8" t="s">
        <v>17</v>
      </c>
      <c r="B12" s="5" t="str">
        <f>IFERROR(INDEX(GERAL[CPF],MATCH(PARCELAS[[#This Row],[NOME]],GERAL[NOME],0)),"-")</f>
        <v>064.142.434-50</v>
      </c>
      <c r="C12" s="16">
        <f ca="1">COUNTIF(PARCELAS[[#Headers],[NOME]]:PARCELAS[[#This Row],[NOME]],PARCELAS[[#This Row],[NOME]])</f>
        <v>4</v>
      </c>
      <c r="D12" s="10">
        <v>1000</v>
      </c>
      <c r="E12" s="9">
        <v>45999</v>
      </c>
      <c r="F12" s="11" t="s">
        <v>11</v>
      </c>
      <c r="G12" s="12" t="str">
        <f>IFERROR(INDEX(GERAL[PIX],MATCH(PARCELAS[[#This Row],[NOME]],GERAL[NOME],0)),"-")</f>
        <v>064.142.434-50</v>
      </c>
      <c r="H12" t="s">
        <v>45</v>
      </c>
      <c r="I12" s="14" cm="1">
        <f t="array" ref="I12">IFERROR(IF(PARCELAS[[#This Row],[DATA]]&lt;&gt;"",30000 - SUMPRODUCT((PARCELAS[NOME]=PARCELAS[[#This Row],[NOME]])*(ROW(PARCELAS[NOME])&lt;=ROW(PARCELAS[[#This Row],[NOME]]))*PARCELAS[VALOR]),I11),"")</f>
        <v>13500</v>
      </c>
      <c r="J12" s="12" t="str">
        <f>IF(DAY(PARCELAS[[#This Row],[DATA]])=0,"",TEXT(DAY(PARCELAS[[#This Row],[DATA]]),"00"))</f>
        <v>08</v>
      </c>
      <c r="K12" s="13" t="str">
        <f>IF(PARCELAS[[#This Row],[DATA]]="","",INDEX(MESES[MÊS],MATCH(MONTH(PARCELAS[[#This Row],[DATA]]),MESES[N],0)))</f>
        <v>dezembro</v>
      </c>
      <c r="L12" s="12">
        <f>IF(YEAR(PARCELAS[[#This Row],[DATA]])=1900,"",YEAR(PARCELAS[[#This Row],[DATA]]))</f>
        <v>2025</v>
      </c>
      <c r="M12" s="15" t="s">
        <v>46</v>
      </c>
      <c r="P12">
        <v>11</v>
      </c>
      <c r="Q12" t="s">
        <v>56</v>
      </c>
    </row>
    <row r="13" spans="1:17" ht="15.75">
      <c r="A13" s="8" t="s">
        <v>23</v>
      </c>
      <c r="B13" s="5" t="str">
        <f>IFERROR(INDEX(GERAL[CPF],MATCH(PARCELAS[[#This Row],[NOME]],GERAL[NOME],0)),"-")</f>
        <v>341.267.018-93</v>
      </c>
      <c r="C13" s="16">
        <f ca="1">COUNTIF(PARCELAS[[#Headers],[NOME]]:PARCELAS[[#This Row],[NOME]],PARCELAS[[#This Row],[NOME]])</f>
        <v>4</v>
      </c>
      <c r="D13" s="10">
        <v>1000</v>
      </c>
      <c r="E13" s="9">
        <v>45999</v>
      </c>
      <c r="F13" s="11" t="s">
        <v>11</v>
      </c>
      <c r="G13" s="12" t="str">
        <f>IFERROR(INDEX(GERAL[PIX],MATCH(PARCELAS[[#This Row],[NOME]],GERAL[NOME],0)),"-")</f>
        <v>(82)99929-1488</v>
      </c>
      <c r="H13" t="s">
        <v>42</v>
      </c>
      <c r="I13" s="14" cm="1">
        <f t="array" ref="I13">IFERROR(IF(PARCELAS[[#This Row],[DATA]]&lt;&gt;"",30000 - SUMPRODUCT((PARCELAS[NOME]=PARCELAS[[#This Row],[NOME]])*(ROW(PARCELAS[NOME])&lt;=ROW(PARCELAS[[#This Row],[NOME]]))*PARCELAS[VALOR]),I12),"")</f>
        <v>13500</v>
      </c>
      <c r="J13" s="12" t="str">
        <f>IF(DAY(PARCELAS[[#This Row],[DATA]])=0,"",TEXT(DAY(PARCELAS[[#This Row],[DATA]]),"00"))</f>
        <v>08</v>
      </c>
      <c r="K13" s="13" t="str">
        <f>IF(PARCELAS[[#This Row],[DATA]]="","",INDEX(MESES[MÊS],MATCH(MONTH(PARCELAS[[#This Row],[DATA]]),MESES[N],0)))</f>
        <v>dezembro</v>
      </c>
      <c r="L13" s="12">
        <f>IF(YEAR(PARCELAS[[#This Row],[DATA]])=1900,"",YEAR(PARCELAS[[#This Row],[DATA]]))</f>
        <v>2025</v>
      </c>
      <c r="M13" s="15" t="s">
        <v>46</v>
      </c>
      <c r="P13">
        <v>12</v>
      </c>
      <c r="Q13" t="s">
        <v>57</v>
      </c>
    </row>
    <row r="14" spans="1:17" ht="15.75">
      <c r="A14" s="8" t="s">
        <v>12</v>
      </c>
      <c r="B14" s="5" t="str">
        <f>IFERROR(INDEX(GERAL[CPF],MATCH(PARCELAS[[#This Row],[NOME]],GERAL[NOME],0)),"-")</f>
        <v>046.931.264-54</v>
      </c>
      <c r="C14" s="16">
        <f ca="1">COUNTIF(PARCELAS[[#Headers],[NOME]]:PARCELAS[[#This Row],[NOME]],PARCELAS[[#This Row],[NOME]])</f>
        <v>5</v>
      </c>
      <c r="D14" s="22">
        <v>1000</v>
      </c>
      <c r="E14" s="9">
        <v>46033</v>
      </c>
      <c r="F14" s="11" t="s">
        <v>11</v>
      </c>
      <c r="G14" s="12" t="str">
        <f>IFERROR(INDEX(GERAL[PIX],MATCH(PARCELAS[[#This Row],[NOME]],GERAL[NOME],0)),"-")</f>
        <v>046.931.264-54</v>
      </c>
      <c r="H14" t="s">
        <v>42</v>
      </c>
      <c r="I14" s="23" cm="1">
        <f t="array" ref="I14">IFERROR(IF(PARCELAS[[#This Row],[DATA]]&lt;&gt;"",30000 - SUMPRODUCT((PARCELAS[NOME]=PARCELAS[[#This Row],[NOME]])*(ROW(PARCELAS[NOME])&lt;=ROW(PARCELAS[[#This Row],[NOME]]))*PARCELAS[VALOR]),I13),"")</f>
        <v>12500</v>
      </c>
      <c r="J14" s="12" t="str">
        <f>IF(DAY(PARCELAS[[#This Row],[DATA]])=0,"",TEXT(DAY(PARCELAS[[#This Row],[DATA]]),"00"))</f>
        <v>11</v>
      </c>
      <c r="K14" s="13" t="str">
        <f>IF(PARCELAS[[#This Row],[DATA]]="","",INDEX(MESES[MÊS],MATCH(MONTH(PARCELAS[[#This Row],[DATA]]),MESES[N],0)))</f>
        <v>janeiro</v>
      </c>
      <c r="L14" s="12">
        <f>IF(YEAR(PARCELAS[[#This Row],[DATA]])=1900,"",YEAR(PARCELAS[[#This Row],[DATA]]))</f>
        <v>2026</v>
      </c>
      <c r="M14" t="s">
        <v>43</v>
      </c>
    </row>
    <row r="15" spans="1:17" ht="15.75">
      <c r="A15" s="8" t="s">
        <v>17</v>
      </c>
      <c r="B15" s="5" t="str">
        <f>IFERROR(INDEX(GERAL[CPF],MATCH(PARCELAS[[#This Row],[NOME]],GERAL[NOME],0)),"-")</f>
        <v>064.142.434-50</v>
      </c>
      <c r="C15" s="16">
        <f ca="1">COUNTIF(PARCELAS[[#Headers],[NOME]]:PARCELAS[[#This Row],[NOME]],PARCELAS[[#This Row],[NOME]])</f>
        <v>5</v>
      </c>
      <c r="D15" s="22">
        <v>1000</v>
      </c>
      <c r="E15" s="9">
        <v>46033</v>
      </c>
      <c r="F15" s="11" t="s">
        <v>11</v>
      </c>
      <c r="G15" s="12" t="str">
        <f>IFERROR(INDEX(GERAL[PIX],MATCH(PARCELAS[[#This Row],[NOME]],GERAL[NOME],0)),"-")</f>
        <v>064.142.434-50</v>
      </c>
      <c r="H15" t="s">
        <v>45</v>
      </c>
      <c r="I15" s="23" cm="1">
        <f t="array" ref="I15">IFERROR(IF(PARCELAS[[#This Row],[DATA]]&lt;&gt;"",30000 - SUMPRODUCT((PARCELAS[NOME]=PARCELAS[[#This Row],[NOME]])*(ROW(PARCELAS[NOME])&lt;=ROW(PARCELAS[[#This Row],[NOME]]))*PARCELAS[VALOR]),I14),"")</f>
        <v>12500</v>
      </c>
      <c r="J15" s="12" t="str">
        <f>IF(DAY(PARCELAS[[#This Row],[DATA]])=0,"",TEXT(DAY(PARCELAS[[#This Row],[DATA]]),"00"))</f>
        <v>11</v>
      </c>
      <c r="K15" s="13" t="str">
        <f>IF(PARCELAS[[#This Row],[DATA]]="","",INDEX(MESES[MÊS],MATCH(MONTH(PARCELAS[[#This Row],[DATA]]),MESES[N],0)))</f>
        <v>janeiro</v>
      </c>
      <c r="L15" s="12">
        <f>IF(YEAR(PARCELAS[[#This Row],[DATA]])=1900,"",YEAR(PARCELAS[[#This Row],[DATA]]))</f>
        <v>2026</v>
      </c>
      <c r="M15" s="15" t="s">
        <v>46</v>
      </c>
    </row>
    <row r="16" spans="1:17" ht="15.75">
      <c r="A16" s="8" t="s">
        <v>23</v>
      </c>
      <c r="B16" s="5" t="str">
        <f>IFERROR(INDEX(GERAL[CPF],MATCH(PARCELAS[[#This Row],[NOME]],GERAL[NOME],0)),"-")</f>
        <v>341.267.018-93</v>
      </c>
      <c r="C16" s="16">
        <f ca="1">COUNTIF(PARCELAS[[#Headers],[NOME]]:PARCELAS[[#This Row],[NOME]],PARCELAS[[#This Row],[NOME]])</f>
        <v>5</v>
      </c>
      <c r="D16" s="22">
        <v>1000</v>
      </c>
      <c r="E16" s="9">
        <v>46033</v>
      </c>
      <c r="F16" s="11" t="s">
        <v>11</v>
      </c>
      <c r="G16" s="12" t="str">
        <f>IFERROR(INDEX(GERAL[PIX],MATCH(PARCELAS[[#This Row],[NOME]],GERAL[NOME],0)),"-")</f>
        <v>(82)99929-1488</v>
      </c>
      <c r="H16" t="s">
        <v>42</v>
      </c>
      <c r="I16" s="23" cm="1">
        <f t="array" ref="I16">IFERROR(IF(PARCELAS[[#This Row],[DATA]]&lt;&gt;"",30000 - SUMPRODUCT((PARCELAS[NOME]=PARCELAS[[#This Row],[NOME]])*(ROW(PARCELAS[NOME])&lt;=ROW(PARCELAS[[#This Row],[NOME]]))*PARCELAS[VALOR]),I15),"")</f>
        <v>12500</v>
      </c>
      <c r="J16" s="12" t="str">
        <f>IF(DAY(PARCELAS[[#This Row],[DATA]])=0,"",TEXT(DAY(PARCELAS[[#This Row],[DATA]]),"00"))</f>
        <v>11</v>
      </c>
      <c r="K16" s="13" t="str">
        <f>IF(PARCELAS[[#This Row],[DATA]]="","",INDEX(MESES[MÊS],MATCH(MONTH(PARCELAS[[#This Row],[DATA]]),MESES[N],0)))</f>
        <v>janeiro</v>
      </c>
      <c r="L16" s="12">
        <f>IF(YEAR(PARCELAS[[#This Row],[DATA]])=1900,"",YEAR(PARCELAS[[#This Row],[DATA]]))</f>
        <v>2026</v>
      </c>
      <c r="M16" s="15" t="s">
        <v>46</v>
      </c>
    </row>
    <row r="17" spans="1:13" ht="15.75">
      <c r="A17" s="8" t="s">
        <v>12</v>
      </c>
      <c r="B17" s="5" t="str">
        <f>IFERROR(INDEX(GERAL[CPF],MATCH(PARCELAS[[#This Row],[NOME]],GERAL[NOME],0)),"-")</f>
        <v>046.931.264-54</v>
      </c>
      <c r="C17" s="16">
        <f ca="1">COUNTIF(PARCELAS[[#Headers],[NOME]]:PARCELAS[[#This Row],[NOME]],PARCELAS[[#This Row],[NOME]])</f>
        <v>6</v>
      </c>
      <c r="D17" s="22">
        <v>1000</v>
      </c>
      <c r="E17" s="9">
        <v>46063</v>
      </c>
      <c r="F17" s="11" t="s">
        <v>11</v>
      </c>
      <c r="G17" s="12" t="str">
        <f>IFERROR(INDEX(GERAL[PIX],MATCH(PARCELAS[[#This Row],[NOME]],GERAL[NOME],0)),"-")</f>
        <v>046.931.264-54</v>
      </c>
      <c r="H17" t="s">
        <v>42</v>
      </c>
      <c r="I17" s="14" cm="1">
        <f t="array" ref="I17">IFERROR(IF(PARCELAS[[#This Row],[DATA]]&lt;&gt;"",30000 - SUMPRODUCT((PARCELAS[NOME]=PARCELAS[[#This Row],[NOME]])*(ROW(PARCELAS[NOME])&lt;=ROW(PARCELAS[[#This Row],[NOME]]))*PARCELAS[VALOR]),I16),"")</f>
        <v>11500</v>
      </c>
      <c r="J17" s="12" t="str">
        <f>IF(DAY(PARCELAS[[#This Row],[DATA]])=0,"",TEXT(DAY(PARCELAS[[#This Row],[DATA]]),"00"))</f>
        <v>10</v>
      </c>
      <c r="K17" s="13" t="str">
        <f>IF(PARCELAS[[#This Row],[DATA]]="","",INDEX(MESES[MÊS],MATCH(MONTH(PARCELAS[[#This Row],[DATA]]),MESES[N],0)))</f>
        <v>fevereiro</v>
      </c>
      <c r="L17" s="12">
        <f>IF(YEAR(PARCELAS[[#This Row],[DATA]])=1900,"",YEAR(PARCELAS[[#This Row],[DATA]]))</f>
        <v>2026</v>
      </c>
      <c r="M17" t="s">
        <v>43</v>
      </c>
    </row>
    <row r="18" spans="1:13" ht="15.75">
      <c r="A18" s="8" t="s">
        <v>17</v>
      </c>
      <c r="B18" s="5" t="str">
        <f>IFERROR(INDEX(GERAL[CPF],MATCH(PARCELAS[[#This Row],[NOME]],GERAL[NOME],0)),"-")</f>
        <v>064.142.434-50</v>
      </c>
      <c r="C18" s="16">
        <f ca="1">COUNTIF(PARCELAS[[#Headers],[NOME]]:PARCELAS[[#This Row],[NOME]],PARCELAS[[#This Row],[NOME]])</f>
        <v>6</v>
      </c>
      <c r="D18" s="22">
        <v>1000</v>
      </c>
      <c r="E18" s="9">
        <v>46063</v>
      </c>
      <c r="F18" s="11" t="s">
        <v>11</v>
      </c>
      <c r="G18" s="12" t="str">
        <f>IFERROR(INDEX(GERAL[PIX],MATCH(PARCELAS[[#This Row],[NOME]],GERAL[NOME],0)),"-")</f>
        <v>064.142.434-50</v>
      </c>
      <c r="H18" t="s">
        <v>45</v>
      </c>
      <c r="I18" s="14" cm="1">
        <f t="array" ref="I18">IFERROR(IF(PARCELAS[[#This Row],[DATA]]&lt;&gt;"",30000 - SUMPRODUCT((PARCELAS[NOME]=PARCELAS[[#This Row],[NOME]])*(ROW(PARCELAS[NOME])&lt;=ROW(PARCELAS[[#This Row],[NOME]]))*PARCELAS[VALOR]),I17),"")</f>
        <v>11500</v>
      </c>
      <c r="J18" s="12" t="str">
        <f>IF(DAY(PARCELAS[[#This Row],[DATA]])=0,"",TEXT(DAY(PARCELAS[[#This Row],[DATA]]),"00"))</f>
        <v>10</v>
      </c>
      <c r="K18" s="13" t="str">
        <f>IF(PARCELAS[[#This Row],[DATA]]="","",INDEX(MESES[MÊS],MATCH(MONTH(PARCELAS[[#This Row],[DATA]]),MESES[N],0)))</f>
        <v>fevereiro</v>
      </c>
      <c r="L18" s="12">
        <f>IF(YEAR(PARCELAS[[#This Row],[DATA]])=1900,"",YEAR(PARCELAS[[#This Row],[DATA]]))</f>
        <v>2026</v>
      </c>
      <c r="M18" s="15" t="s">
        <v>46</v>
      </c>
    </row>
    <row r="19" spans="1:13" ht="15.75">
      <c r="A19" s="8" t="s">
        <v>23</v>
      </c>
      <c r="B19" s="5" t="str">
        <f>IFERROR(INDEX(GERAL[CPF],MATCH(PARCELAS[[#This Row],[NOME]],GERAL[NOME],0)),"-")</f>
        <v>341.267.018-93</v>
      </c>
      <c r="C19" s="16">
        <f ca="1">COUNTIF(PARCELAS[[#Headers],[NOME]]:PARCELAS[[#This Row],[NOME]],PARCELAS[[#This Row],[NOME]])</f>
        <v>6</v>
      </c>
      <c r="D19" s="22">
        <v>1000</v>
      </c>
      <c r="E19" s="9">
        <v>46063</v>
      </c>
      <c r="F19" s="11" t="s">
        <v>11</v>
      </c>
      <c r="G19" s="12" t="str">
        <f>IFERROR(INDEX(GERAL[PIX],MATCH(PARCELAS[[#This Row],[NOME]],GERAL[NOME],0)),"-")</f>
        <v>(82)99929-1488</v>
      </c>
      <c r="H19" t="s">
        <v>42</v>
      </c>
      <c r="I19" s="14" cm="1">
        <f t="array" ref="I19">IFERROR(IF(PARCELAS[[#This Row],[DATA]]&lt;&gt;"",30000 - SUMPRODUCT((PARCELAS[NOME]=PARCELAS[[#This Row],[NOME]])*(ROW(PARCELAS[NOME])&lt;=ROW(PARCELAS[[#This Row],[NOME]]))*PARCELAS[VALOR]),I18),"")</f>
        <v>11500</v>
      </c>
      <c r="J19" s="12" t="str">
        <f>IF(DAY(PARCELAS[[#This Row],[DATA]])=0,"",TEXT(DAY(PARCELAS[[#This Row],[DATA]]),"00"))</f>
        <v>10</v>
      </c>
      <c r="K19" s="13" t="str">
        <f>IF(PARCELAS[[#This Row],[DATA]]="","",INDEX(MESES[MÊS],MATCH(MONTH(PARCELAS[[#This Row],[DATA]]),MESES[N],0)))</f>
        <v>fevereiro</v>
      </c>
      <c r="L19" s="12">
        <f>IF(YEAR(PARCELAS[[#This Row],[DATA]])=1900,"",YEAR(PARCELAS[[#This Row],[DATA]]))</f>
        <v>2026</v>
      </c>
      <c r="M19" s="15" t="s">
        <v>46</v>
      </c>
    </row>
    <row r="20" spans="1:13" ht="15.75">
      <c r="A20" s="8" t="s">
        <v>12</v>
      </c>
      <c r="B20" s="5" t="str">
        <f>IFERROR(INDEX(GERAL[CPF],MATCH(PARCELAS[[#This Row],[NOME]],GERAL[NOME],0)),"-")</f>
        <v>046.931.264-54</v>
      </c>
      <c r="C20" s="16">
        <f ca="1">COUNTIF(PARCELAS[[#Headers],[NOME]]:PARCELAS[[#This Row],[NOME]],PARCELAS[[#This Row],[NOME]])</f>
        <v>7</v>
      </c>
      <c r="D20" s="10">
        <v>1000</v>
      </c>
      <c r="E20" s="9">
        <v>46091</v>
      </c>
      <c r="F20" s="11" t="s">
        <v>11</v>
      </c>
      <c r="G20" s="12" t="str">
        <f>IFERROR(INDEX(GERAL[PIX],MATCH(PARCELAS[[#This Row],[NOME]],GERAL[NOME],0)),"-")</f>
        <v>046.931.264-54</v>
      </c>
      <c r="H20" t="s">
        <v>42</v>
      </c>
      <c r="I20" s="14" cm="1">
        <f t="array" ref="I20">IFERROR(IF(PARCELAS[[#This Row],[DATA]]&lt;&gt;"",30000 - SUMPRODUCT((PARCELAS[NOME]=PARCELAS[[#This Row],[NOME]])*(ROW(PARCELAS[NOME])&lt;=ROW(PARCELAS[[#This Row],[NOME]]))*PARCELAS[VALOR]),I19),"")</f>
        <v>10500</v>
      </c>
      <c r="J20" s="12" t="str">
        <f>IF(DAY(PARCELAS[[#This Row],[DATA]])=0,"",TEXT(DAY(PARCELAS[[#This Row],[DATA]]),"00"))</f>
        <v>10</v>
      </c>
      <c r="K20" s="13" t="str">
        <f>IF(PARCELAS[[#This Row],[DATA]]="","",INDEX(MESES[MÊS],MATCH(MONTH(PARCELAS[[#This Row],[DATA]]),MESES[N],0)))</f>
        <v>março</v>
      </c>
      <c r="L20" s="12">
        <f>IF(YEAR(PARCELAS[[#This Row],[DATA]])=1900,"",YEAR(PARCELAS[[#This Row],[DATA]]))</f>
        <v>2026</v>
      </c>
      <c r="M20" t="s">
        <v>43</v>
      </c>
    </row>
    <row r="21" spans="1:13" ht="15.75">
      <c r="A21" s="8" t="s">
        <v>17</v>
      </c>
      <c r="B21" s="5" t="str">
        <f>IFERROR(INDEX(GERAL[CPF],MATCH(PARCELAS[[#This Row],[NOME]],GERAL[NOME],0)),"-")</f>
        <v>064.142.434-50</v>
      </c>
      <c r="C21" s="16">
        <f ca="1">COUNTIF(PARCELAS[[#Headers],[NOME]]:PARCELAS[[#This Row],[NOME]],PARCELAS[[#This Row],[NOME]])</f>
        <v>7</v>
      </c>
      <c r="D21" s="10">
        <v>1000</v>
      </c>
      <c r="E21" s="9">
        <v>46091</v>
      </c>
      <c r="F21" s="11" t="s">
        <v>11</v>
      </c>
      <c r="G21" s="12" t="str">
        <f>IFERROR(INDEX(GERAL[PIX],MATCH(PARCELAS[[#This Row],[NOME]],GERAL[NOME],0)),"-")</f>
        <v>064.142.434-50</v>
      </c>
      <c r="H21" t="s">
        <v>45</v>
      </c>
      <c r="I21" s="14" cm="1">
        <f t="array" ref="I21">IFERROR(IF(PARCELAS[[#This Row],[DATA]]&lt;&gt;"",30000 - SUMPRODUCT((PARCELAS[NOME]=PARCELAS[[#This Row],[NOME]])*(ROW(PARCELAS[NOME])&lt;=ROW(PARCELAS[[#This Row],[NOME]]))*PARCELAS[VALOR]),I20),"")</f>
        <v>10500</v>
      </c>
      <c r="J21" s="12" t="str">
        <f>IF(DAY(PARCELAS[[#This Row],[DATA]])=0,"",TEXT(DAY(PARCELAS[[#This Row],[DATA]]),"00"))</f>
        <v>10</v>
      </c>
      <c r="K21" s="13" t="str">
        <f>IF(PARCELAS[[#This Row],[DATA]]="","",INDEX(MESES[MÊS],MATCH(MONTH(PARCELAS[[#This Row],[DATA]]),MESES[N],0)))</f>
        <v>março</v>
      </c>
      <c r="L21" s="12">
        <f>IF(YEAR(PARCELAS[[#This Row],[DATA]])=1900,"",YEAR(PARCELAS[[#This Row],[DATA]]))</f>
        <v>2026</v>
      </c>
      <c r="M21" s="15" t="s">
        <v>46</v>
      </c>
    </row>
    <row r="22" spans="1:13" ht="15.75">
      <c r="A22" s="8" t="s">
        <v>23</v>
      </c>
      <c r="B22" s="5" t="str">
        <f>IFERROR(INDEX(GERAL[CPF],MATCH(PARCELAS[[#This Row],[NOME]],GERAL[NOME],0)),"-")</f>
        <v>341.267.018-93</v>
      </c>
      <c r="C22" s="16">
        <f ca="1">COUNTIF(PARCELAS[[#Headers],[NOME]]:PARCELAS[[#This Row],[NOME]],PARCELAS[[#This Row],[NOME]])</f>
        <v>7</v>
      </c>
      <c r="D22" s="10">
        <v>1000</v>
      </c>
      <c r="E22" s="9">
        <v>46091</v>
      </c>
      <c r="F22" s="11" t="s">
        <v>11</v>
      </c>
      <c r="G22" s="12" t="str">
        <f>IFERROR(INDEX(GERAL[PIX],MATCH(PARCELAS[[#This Row],[NOME]],GERAL[NOME],0)),"-")</f>
        <v>(82)99929-1488</v>
      </c>
      <c r="H22" t="s">
        <v>42</v>
      </c>
      <c r="I22" s="14" cm="1">
        <f t="array" ref="I22">IFERROR(IF(PARCELAS[[#This Row],[DATA]]&lt;&gt;"",30000 - SUMPRODUCT((PARCELAS[NOME]=PARCELAS[[#This Row],[NOME]])*(ROW(PARCELAS[NOME])&lt;=ROW(PARCELAS[[#This Row],[NOME]]))*PARCELAS[VALOR]),I21),"")</f>
        <v>10500</v>
      </c>
      <c r="J22" s="12" t="str">
        <f>IF(DAY(PARCELAS[[#This Row],[DATA]])=0,"",TEXT(DAY(PARCELAS[[#This Row],[DATA]]),"00"))</f>
        <v>10</v>
      </c>
      <c r="K22" s="13" t="str">
        <f>IF(PARCELAS[[#This Row],[DATA]]="","",INDEX(MESES[MÊS],MATCH(MONTH(PARCELAS[[#This Row],[DATA]]),MESES[N],0)))</f>
        <v>março</v>
      </c>
      <c r="L22" s="12">
        <f>IF(YEAR(PARCELAS[[#This Row],[DATA]])=1900,"",YEAR(PARCELAS[[#This Row],[DATA]]))</f>
        <v>2026</v>
      </c>
      <c r="M22" s="15" t="s">
        <v>46</v>
      </c>
    </row>
    <row r="23" spans="1:13" ht="15.75">
      <c r="A23" s="8" t="s">
        <v>12</v>
      </c>
      <c r="B23" s="5" t="str">
        <f>IFERROR(INDEX(GERAL[CPF],MATCH(PARCELAS[[#This Row],[NOME]],GERAL[NOME],0)),"-")</f>
        <v>046.931.264-54</v>
      </c>
      <c r="C23" s="16">
        <f ca="1">COUNTIF(PARCELAS[[#Headers],[NOME]]:PARCELAS[[#This Row],[NOME]],PARCELAS[[#This Row],[NOME]])</f>
        <v>8</v>
      </c>
      <c r="D23" s="10">
        <v>1000</v>
      </c>
      <c r="E23" s="9">
        <v>46125</v>
      </c>
      <c r="F23" s="11" t="s">
        <v>11</v>
      </c>
      <c r="G23" s="12" t="str">
        <f>IFERROR(INDEX(GERAL[PIX],MATCH(PARCELAS[[#This Row],[NOME]],GERAL[NOME],0)),"-")</f>
        <v>046.931.264-54</v>
      </c>
      <c r="H23" t="s">
        <v>42</v>
      </c>
      <c r="I23" s="14" cm="1">
        <f t="array" ref="I23">IFERROR(IF(PARCELAS[[#This Row],[DATA]]&lt;&gt;"",30000 - SUMPRODUCT((PARCELAS[NOME]=PARCELAS[[#This Row],[NOME]])*(ROW(PARCELAS[NOME])&lt;=ROW(PARCELAS[[#This Row],[NOME]]))*PARCELAS[VALOR]),I22),"")</f>
        <v>9500</v>
      </c>
      <c r="J23" s="12" t="str">
        <f>IF(DAY(PARCELAS[[#This Row],[DATA]])=0,"",TEXT(DAY(PARCELAS[[#This Row],[DATA]]),"00"))</f>
        <v>13</v>
      </c>
      <c r="K23" s="13" t="str">
        <f>IF(PARCELAS[[#This Row],[DATA]]="","",INDEX(MESES[MÊS],MATCH(MONTH(PARCELAS[[#This Row],[DATA]]),MESES[N],0)))</f>
        <v>abril</v>
      </c>
      <c r="L23" s="12">
        <f>IF(YEAR(PARCELAS[[#This Row],[DATA]])=1900,"",YEAR(PARCELAS[[#This Row],[DATA]]))</f>
        <v>2026</v>
      </c>
      <c r="M23" t="s">
        <v>43</v>
      </c>
    </row>
    <row r="24" spans="1:13" ht="15.75">
      <c r="A24" s="8" t="s">
        <v>17</v>
      </c>
      <c r="B24" s="5" t="str">
        <f>IFERROR(INDEX(GERAL[CPF],MATCH(PARCELAS[[#This Row],[NOME]],GERAL[NOME],0)),"-")</f>
        <v>064.142.434-50</v>
      </c>
      <c r="C24" s="16">
        <f ca="1">COUNTIF(PARCELAS[[#Headers],[NOME]]:PARCELAS[[#This Row],[NOME]],PARCELAS[[#This Row],[NOME]])</f>
        <v>8</v>
      </c>
      <c r="D24" s="10">
        <v>1000</v>
      </c>
      <c r="E24" s="9">
        <v>46125</v>
      </c>
      <c r="F24" s="11" t="s">
        <v>11</v>
      </c>
      <c r="G24" s="12" t="str">
        <f>IFERROR(INDEX(GERAL[PIX],MATCH(PARCELAS[[#This Row],[NOME]],GERAL[NOME],0)),"-")</f>
        <v>064.142.434-50</v>
      </c>
      <c r="H24" t="s">
        <v>45</v>
      </c>
      <c r="I24" s="14" cm="1">
        <f t="array" ref="I24">IFERROR(IF(PARCELAS[[#This Row],[DATA]]&lt;&gt;"",30000 - SUMPRODUCT((PARCELAS[NOME]=PARCELAS[[#This Row],[NOME]])*(ROW(PARCELAS[NOME])&lt;=ROW(PARCELAS[[#This Row],[NOME]]))*PARCELAS[VALOR]),I23),"")</f>
        <v>9500</v>
      </c>
      <c r="J24" s="12" t="str">
        <f>IF(DAY(PARCELAS[[#This Row],[DATA]])=0,"",TEXT(DAY(PARCELAS[[#This Row],[DATA]]),"00"))</f>
        <v>13</v>
      </c>
      <c r="K24" s="13" t="str">
        <f>IF(PARCELAS[[#This Row],[DATA]]="","",INDEX(MESES[MÊS],MATCH(MONTH(PARCELAS[[#This Row],[DATA]]),MESES[N],0)))</f>
        <v>abril</v>
      </c>
      <c r="L24" s="12">
        <f>IF(YEAR(PARCELAS[[#This Row],[DATA]])=1900,"",YEAR(PARCELAS[[#This Row],[DATA]]))</f>
        <v>2026</v>
      </c>
      <c r="M24" s="15" t="s">
        <v>46</v>
      </c>
    </row>
    <row r="25" spans="1:13" ht="15.75">
      <c r="A25" s="8" t="s">
        <v>23</v>
      </c>
      <c r="B25" s="5" t="str">
        <f>IFERROR(INDEX(GERAL[CPF],MATCH(PARCELAS[[#This Row],[NOME]],GERAL[NOME],0)),"-")</f>
        <v>341.267.018-93</v>
      </c>
      <c r="C25" s="16">
        <f ca="1">COUNTIF(PARCELAS[[#Headers],[NOME]]:PARCELAS[[#This Row],[NOME]],PARCELAS[[#This Row],[NOME]])</f>
        <v>8</v>
      </c>
      <c r="D25" s="10">
        <v>1000</v>
      </c>
      <c r="E25" s="9">
        <v>46125</v>
      </c>
      <c r="F25" s="11" t="s">
        <v>11</v>
      </c>
      <c r="G25" s="12" t="str">
        <f>IFERROR(INDEX(GERAL[PIX],MATCH(PARCELAS[[#This Row],[NOME]],GERAL[NOME],0)),"-")</f>
        <v>(82)99929-1488</v>
      </c>
      <c r="H25" t="s">
        <v>42</v>
      </c>
      <c r="I25" s="14" cm="1">
        <f t="array" ref="I25">IFERROR(IF(PARCELAS[[#This Row],[DATA]]&lt;&gt;"",30000 - SUMPRODUCT((PARCELAS[NOME]=PARCELAS[[#This Row],[NOME]])*(ROW(PARCELAS[NOME])&lt;=ROW(PARCELAS[[#This Row],[NOME]]))*PARCELAS[VALOR]),I24),"")</f>
        <v>9500</v>
      </c>
      <c r="J25" s="12" t="str">
        <f>IF(DAY(PARCELAS[[#This Row],[DATA]])=0,"",TEXT(DAY(PARCELAS[[#This Row],[DATA]]),"00"))</f>
        <v>13</v>
      </c>
      <c r="K25" s="13" t="str">
        <f>IF(PARCELAS[[#This Row],[DATA]]="","",INDEX(MESES[MÊS],MATCH(MONTH(PARCELAS[[#This Row],[DATA]]),MESES[N],0)))</f>
        <v>abril</v>
      </c>
      <c r="L25" s="12">
        <f>IF(YEAR(PARCELAS[[#This Row],[DATA]])=1900,"",YEAR(PARCELAS[[#This Row],[DATA]]))</f>
        <v>2026</v>
      </c>
      <c r="M25" s="15" t="s">
        <v>46</v>
      </c>
    </row>
    <row r="26" spans="1:13" ht="15.75">
      <c r="A26" s="8" t="s">
        <v>12</v>
      </c>
      <c r="B26" s="5" t="str">
        <f>IFERROR(INDEX(GERAL[CPF],MATCH(PARCELAS[[#This Row],[NOME]],GERAL[NOME],0)),"-")</f>
        <v>046.931.264-54</v>
      </c>
      <c r="C26" s="16">
        <f ca="1">COUNTIF(PARCELAS[[#Headers],[NOME]]:PARCELAS[[#This Row],[NOME]],PARCELAS[[#This Row],[NOME]])</f>
        <v>9</v>
      </c>
      <c r="D26" s="10">
        <v>1000</v>
      </c>
      <c r="E26" s="9">
        <v>46153</v>
      </c>
      <c r="F26" s="11" t="s">
        <v>11</v>
      </c>
      <c r="G26" s="12" t="str">
        <f>IFERROR(INDEX(GERAL[PIX],MATCH(PARCELAS[[#This Row],[NOME]],GERAL[NOME],0)),"-")</f>
        <v>046.931.264-54</v>
      </c>
      <c r="H26" t="s">
        <v>42</v>
      </c>
      <c r="I26" s="14" cm="1">
        <f t="array" ref="I26">IFERROR(IF(PARCELAS[[#This Row],[DATA]]&lt;&gt;"",30000 - SUMPRODUCT((PARCELAS[NOME]=PARCELAS[[#This Row],[NOME]])*(ROW(PARCELAS[NOME])&lt;=ROW(PARCELAS[[#This Row],[NOME]]))*PARCELAS[VALOR]),I25),"")</f>
        <v>8500</v>
      </c>
      <c r="J26" s="12" t="str">
        <f>IF(DAY(PARCELAS[[#This Row],[DATA]])=0,"",TEXT(DAY(PARCELAS[[#This Row],[DATA]]),"00"))</f>
        <v>11</v>
      </c>
      <c r="K26" s="13" t="str">
        <f>IF(PARCELAS[[#This Row],[DATA]]="","",INDEX(MESES[MÊS],MATCH(MONTH(PARCELAS[[#This Row],[DATA]]),MESES[N],0)))</f>
        <v>maio</v>
      </c>
      <c r="L26" s="12">
        <f>IF(YEAR(PARCELAS[[#This Row],[DATA]])=1900,"",YEAR(PARCELAS[[#This Row],[DATA]]))</f>
        <v>2026</v>
      </c>
      <c r="M26" t="s">
        <v>43</v>
      </c>
    </row>
    <row r="27" spans="1:13" ht="15.75">
      <c r="A27" s="8" t="s">
        <v>17</v>
      </c>
      <c r="B27" s="5" t="str">
        <f>IFERROR(INDEX(GERAL[CPF],MATCH(PARCELAS[[#This Row],[NOME]],GERAL[NOME],0)),"-")</f>
        <v>064.142.434-50</v>
      </c>
      <c r="C27" s="16">
        <f ca="1">COUNTIF(PARCELAS[[#Headers],[NOME]]:PARCELAS[[#This Row],[NOME]],PARCELAS[[#This Row],[NOME]])</f>
        <v>9</v>
      </c>
      <c r="D27" s="10">
        <v>1000</v>
      </c>
      <c r="E27" s="9">
        <v>46153</v>
      </c>
      <c r="F27" s="11" t="s">
        <v>11</v>
      </c>
      <c r="G27" s="12" t="str">
        <f>IFERROR(INDEX(GERAL[PIX],MATCH(PARCELAS[[#This Row],[NOME]],GERAL[NOME],0)),"-")</f>
        <v>064.142.434-50</v>
      </c>
      <c r="H27" t="s">
        <v>45</v>
      </c>
      <c r="I27" s="14" cm="1">
        <f t="array" ref="I27">IFERROR(IF(PARCELAS[[#This Row],[DATA]]&lt;&gt;"",30000 - SUMPRODUCT((PARCELAS[NOME]=PARCELAS[[#This Row],[NOME]])*(ROW(PARCELAS[NOME])&lt;=ROW(PARCELAS[[#This Row],[NOME]]))*PARCELAS[VALOR]),I26),"")</f>
        <v>8500</v>
      </c>
      <c r="J27" s="12" t="str">
        <f>IF(DAY(PARCELAS[[#This Row],[DATA]])=0,"",TEXT(DAY(PARCELAS[[#This Row],[DATA]]),"00"))</f>
        <v>11</v>
      </c>
      <c r="K27" s="13" t="str">
        <f>IF(PARCELAS[[#This Row],[DATA]]="","",INDEX(MESES[MÊS],MATCH(MONTH(PARCELAS[[#This Row],[DATA]]),MESES[N],0)))</f>
        <v>maio</v>
      </c>
      <c r="L27" s="12">
        <f>IF(YEAR(PARCELAS[[#This Row],[DATA]])=1900,"",YEAR(PARCELAS[[#This Row],[DATA]]))</f>
        <v>2026</v>
      </c>
      <c r="M27" s="15" t="s">
        <v>46</v>
      </c>
    </row>
    <row r="28" spans="1:13" ht="15.75">
      <c r="A28" s="8" t="s">
        <v>23</v>
      </c>
      <c r="B28" s="5" t="str">
        <f>IFERROR(INDEX(GERAL[CPF],MATCH(PARCELAS[[#This Row],[NOME]],GERAL[NOME],0)),"-")</f>
        <v>341.267.018-93</v>
      </c>
      <c r="C28" s="16">
        <f ca="1">COUNTIF(PARCELAS[[#Headers],[NOME]]:PARCELAS[[#This Row],[NOME]],PARCELAS[[#This Row],[NOME]])</f>
        <v>9</v>
      </c>
      <c r="D28" s="10">
        <v>1000</v>
      </c>
      <c r="E28" s="9">
        <v>46153</v>
      </c>
      <c r="F28" s="11" t="s">
        <v>11</v>
      </c>
      <c r="G28" s="12" t="str">
        <f>IFERROR(INDEX(GERAL[PIX],MATCH(PARCELAS[[#This Row],[NOME]],GERAL[NOME],0)),"-")</f>
        <v>(82)99929-1488</v>
      </c>
      <c r="H28" t="s">
        <v>42</v>
      </c>
      <c r="I28" s="14" cm="1">
        <f t="array" ref="I28">IFERROR(IF(PARCELAS[[#This Row],[DATA]]&lt;&gt;"",30000 - SUMPRODUCT((PARCELAS[NOME]=PARCELAS[[#This Row],[NOME]])*(ROW(PARCELAS[NOME])&lt;=ROW(PARCELAS[[#This Row],[NOME]]))*PARCELAS[VALOR]),I27),"")</f>
        <v>8500</v>
      </c>
      <c r="J28" s="12" t="str">
        <f>IF(DAY(PARCELAS[[#This Row],[DATA]])=0,"",TEXT(DAY(PARCELAS[[#This Row],[DATA]]),"00"))</f>
        <v>11</v>
      </c>
      <c r="K28" s="13" t="str">
        <f>IF(PARCELAS[[#This Row],[DATA]]="","",INDEX(MESES[MÊS],MATCH(MONTH(PARCELAS[[#This Row],[DATA]]),MESES[N],0)))</f>
        <v>maio</v>
      </c>
      <c r="L28" s="12">
        <f>IF(YEAR(PARCELAS[[#This Row],[DATA]])=1900,"",YEAR(PARCELAS[[#This Row],[DATA]]))</f>
        <v>2026</v>
      </c>
      <c r="M28" s="15" t="s">
        <v>46</v>
      </c>
    </row>
    <row r="29" spans="1:13" ht="15.75">
      <c r="A29" s="8" t="s">
        <v>12</v>
      </c>
      <c r="B29" s="5" t="str">
        <f>IFERROR(INDEX(GERAL[CPF],MATCH(PARCELAS[[#This Row],[NOME]],GERAL[NOME],0)),"-")</f>
        <v>046.931.264-54</v>
      </c>
      <c r="C29" s="16">
        <f ca="1">COUNTIF(PARCELAS[[#Headers],[NOME]]:PARCELAS[[#This Row],[NOME]],PARCELAS[[#This Row],[NOME]])</f>
        <v>10</v>
      </c>
      <c r="D29" s="10">
        <v>1000</v>
      </c>
      <c r="E29" s="9">
        <v>46183</v>
      </c>
      <c r="F29" s="11" t="s">
        <v>11</v>
      </c>
      <c r="G29" s="12" t="str">
        <f>IFERROR(INDEX(GERAL[PIX],MATCH(PARCELAS[[#This Row],[NOME]],GERAL[NOME],0)),"-")</f>
        <v>046.931.264-54</v>
      </c>
      <c r="H29" t="s">
        <v>42</v>
      </c>
      <c r="I29" s="14" cm="1">
        <f t="array" ref="I29">IFERROR(IF(PARCELAS[[#This Row],[DATA]]&lt;&gt;"",30000 - SUMPRODUCT((PARCELAS[NOME]=PARCELAS[[#This Row],[NOME]])*(ROW(PARCELAS[NOME])&lt;=ROW(PARCELAS[[#This Row],[NOME]]))*PARCELAS[VALOR]),I28),"")</f>
        <v>7500</v>
      </c>
      <c r="J29" s="12" t="str">
        <f>IF(DAY(PARCELAS[[#This Row],[DATA]])=0,"",TEXT(DAY(PARCELAS[[#This Row],[DATA]]),"00"))</f>
        <v>10</v>
      </c>
      <c r="K29" s="13" t="str">
        <f>IF(PARCELAS[[#This Row],[DATA]]="","",INDEX(MESES[MÊS],MATCH(MONTH(PARCELAS[[#This Row],[DATA]]),MESES[N],0)))</f>
        <v>junho</v>
      </c>
      <c r="L29" s="12">
        <f>IF(YEAR(PARCELAS[[#This Row],[DATA]])=1900,"",YEAR(PARCELAS[[#This Row],[DATA]]))</f>
        <v>2026</v>
      </c>
      <c r="M29" t="s">
        <v>43</v>
      </c>
    </row>
    <row r="30" spans="1:13" ht="15.75">
      <c r="A30" s="8" t="s">
        <v>17</v>
      </c>
      <c r="B30" s="5" t="str">
        <f>IFERROR(INDEX(GERAL[CPF],MATCH(PARCELAS[[#This Row],[NOME]],GERAL[NOME],0)),"-")</f>
        <v>064.142.434-50</v>
      </c>
      <c r="C30" s="16">
        <f ca="1">COUNTIF(PARCELAS[[#Headers],[NOME]]:PARCELAS[[#This Row],[NOME]],PARCELAS[[#This Row],[NOME]])</f>
        <v>10</v>
      </c>
      <c r="D30" s="10">
        <v>1000</v>
      </c>
      <c r="E30" s="9">
        <v>46183</v>
      </c>
      <c r="F30" s="11" t="s">
        <v>11</v>
      </c>
      <c r="G30" s="12" t="str">
        <f>IFERROR(INDEX(GERAL[PIX],MATCH(PARCELAS[[#This Row],[NOME]],GERAL[NOME],0)),"-")</f>
        <v>064.142.434-50</v>
      </c>
      <c r="H30" t="s">
        <v>45</v>
      </c>
      <c r="I30" s="14" cm="1">
        <f t="array" ref="I30">IFERROR(IF(PARCELAS[[#This Row],[DATA]]&lt;&gt;"",30000 - SUMPRODUCT((PARCELAS[NOME]=PARCELAS[[#This Row],[NOME]])*(ROW(PARCELAS[NOME])&lt;=ROW(PARCELAS[[#This Row],[NOME]]))*PARCELAS[VALOR]),I29),"")</f>
        <v>7500</v>
      </c>
      <c r="J30" s="12" t="str">
        <f>IF(DAY(PARCELAS[[#This Row],[DATA]])=0,"",TEXT(DAY(PARCELAS[[#This Row],[DATA]]),"00"))</f>
        <v>10</v>
      </c>
      <c r="K30" s="13" t="str">
        <f>IF(PARCELAS[[#This Row],[DATA]]="","",INDEX(MESES[MÊS],MATCH(MONTH(PARCELAS[[#This Row],[DATA]]),MESES[N],0)))</f>
        <v>junho</v>
      </c>
      <c r="L30" s="12">
        <f>IF(YEAR(PARCELAS[[#This Row],[DATA]])=1900,"",YEAR(PARCELAS[[#This Row],[DATA]]))</f>
        <v>2026</v>
      </c>
      <c r="M30" s="15" t="s">
        <v>46</v>
      </c>
    </row>
    <row r="31" spans="1:13" ht="15.75">
      <c r="A31" s="8" t="s">
        <v>23</v>
      </c>
      <c r="B31" s="5" t="str">
        <f>IFERROR(INDEX(GERAL[CPF],MATCH(PARCELAS[[#This Row],[NOME]],GERAL[NOME],0)),"-")</f>
        <v>341.267.018-93</v>
      </c>
      <c r="C31" s="16">
        <f ca="1">COUNTIF(PARCELAS[[#Headers],[NOME]]:PARCELAS[[#This Row],[NOME]],PARCELAS[[#This Row],[NOME]])</f>
        <v>10</v>
      </c>
      <c r="D31" s="10">
        <v>1000</v>
      </c>
      <c r="E31" s="9">
        <v>46183</v>
      </c>
      <c r="F31" s="11" t="s">
        <v>11</v>
      </c>
      <c r="G31" s="12" t="str">
        <f>IFERROR(INDEX(GERAL[PIX],MATCH(PARCELAS[[#This Row],[NOME]],GERAL[NOME],0)),"-")</f>
        <v>(82)99929-1488</v>
      </c>
      <c r="H31" t="s">
        <v>42</v>
      </c>
      <c r="I31" s="14" cm="1">
        <f t="array" ref="I31">IFERROR(IF(PARCELAS[[#This Row],[DATA]]&lt;&gt;"",30000 - SUMPRODUCT((PARCELAS[NOME]=PARCELAS[[#This Row],[NOME]])*(ROW(PARCELAS[NOME])&lt;=ROW(PARCELAS[[#This Row],[NOME]]))*PARCELAS[VALOR]),I30),"")</f>
        <v>7500</v>
      </c>
      <c r="J31" s="12" t="str">
        <f>IF(DAY(PARCELAS[[#This Row],[DATA]])=0,"",TEXT(DAY(PARCELAS[[#This Row],[DATA]]),"00"))</f>
        <v>10</v>
      </c>
      <c r="K31" s="13" t="str">
        <f>IF(PARCELAS[[#This Row],[DATA]]="","",INDEX(MESES[MÊS],MATCH(MONTH(PARCELAS[[#This Row],[DATA]]),MESES[N],0)))</f>
        <v>junho</v>
      </c>
      <c r="L31" s="12">
        <f>IF(YEAR(PARCELAS[[#This Row],[DATA]])=1900,"",YEAR(PARCELAS[[#This Row],[DATA]]))</f>
        <v>2026</v>
      </c>
      <c r="M31" s="15" t="s">
        <v>46</v>
      </c>
    </row>
    <row r="32" spans="1:13" ht="15.75">
      <c r="A32" s="8" t="s">
        <v>12</v>
      </c>
      <c r="B32" s="5" t="str">
        <f>IFERROR(INDEX(GERAL[CPF],MATCH(PARCELAS[[#This Row],[NOME]],GERAL[NOME],0)),"-")</f>
        <v>046.931.264-54</v>
      </c>
      <c r="C32" s="16">
        <f ca="1">COUNTIF(PARCELAS[[#Headers],[NOME]]:PARCELAS[[#This Row],[NOME]],PARCELAS[[#This Row],[NOME]])</f>
        <v>11</v>
      </c>
      <c r="D32" s="10">
        <v>1000</v>
      </c>
      <c r="E32" s="9">
        <v>46214</v>
      </c>
      <c r="F32" s="11" t="s">
        <v>11</v>
      </c>
      <c r="G32" s="12" t="str">
        <f>IFERROR(INDEX(GERAL[PIX],MATCH(PARCELAS[[#This Row],[NOME]],GERAL[NOME],0)),"-")</f>
        <v>046.931.264-54</v>
      </c>
      <c r="H32" t="s">
        <v>42</v>
      </c>
      <c r="I32" s="14" cm="1">
        <f t="array" ref="I32">IFERROR(IF(PARCELAS[[#This Row],[DATA]]&lt;&gt;"",30000 - SUMPRODUCT((PARCELAS[NOME]=PARCELAS[[#This Row],[NOME]])*(ROW(PARCELAS[NOME])&lt;=ROW(PARCELAS[[#This Row],[NOME]]))*PARCELAS[VALOR]),I31),"")</f>
        <v>6500</v>
      </c>
      <c r="J32" s="12" t="str">
        <f>IF(DAY(PARCELAS[[#This Row],[DATA]])=0,"",TEXT(DAY(PARCELAS[[#This Row],[DATA]]),"00"))</f>
        <v>11</v>
      </c>
      <c r="K32" s="13" t="str">
        <f>IF(PARCELAS[[#This Row],[DATA]]="","",INDEX(MESES[MÊS],MATCH(MONTH(PARCELAS[[#This Row],[DATA]]),MESES[N],0)))</f>
        <v>julho</v>
      </c>
      <c r="L32" s="12">
        <f>IF(YEAR(PARCELAS[[#This Row],[DATA]])=1900,"",YEAR(PARCELAS[[#This Row],[DATA]]))</f>
        <v>2026</v>
      </c>
      <c r="M32" t="s">
        <v>43</v>
      </c>
    </row>
    <row r="33" spans="1:13" ht="15.75">
      <c r="A33" s="8" t="s">
        <v>17</v>
      </c>
      <c r="B33" s="5" t="str">
        <f>IFERROR(INDEX(GERAL[CPF],MATCH(PARCELAS[[#This Row],[NOME]],GERAL[NOME],0)),"-")</f>
        <v>064.142.434-50</v>
      </c>
      <c r="C33" s="16">
        <f ca="1">COUNTIF(PARCELAS[[#Headers],[NOME]]:PARCELAS[[#This Row],[NOME]],PARCELAS[[#This Row],[NOME]])</f>
        <v>11</v>
      </c>
      <c r="D33" s="10">
        <v>1000</v>
      </c>
      <c r="E33" s="9">
        <v>46214</v>
      </c>
      <c r="F33" s="11" t="s">
        <v>11</v>
      </c>
      <c r="G33" s="12" t="str">
        <f>IFERROR(INDEX(GERAL[PIX],MATCH(PARCELAS[[#This Row],[NOME]],GERAL[NOME],0)),"-")</f>
        <v>064.142.434-50</v>
      </c>
      <c r="H33" t="s">
        <v>45</v>
      </c>
      <c r="I33" s="14" cm="1">
        <f t="array" ref="I33">IFERROR(IF(PARCELAS[[#This Row],[DATA]]&lt;&gt;"",30000 - SUMPRODUCT((PARCELAS[NOME]=PARCELAS[[#This Row],[NOME]])*(ROW(PARCELAS[NOME])&lt;=ROW(PARCELAS[[#This Row],[NOME]]))*PARCELAS[VALOR]),I32),"")</f>
        <v>6500</v>
      </c>
      <c r="J33" s="12" t="str">
        <f>IF(DAY(PARCELAS[[#This Row],[DATA]])=0,"",TEXT(DAY(PARCELAS[[#This Row],[DATA]]),"00"))</f>
        <v>11</v>
      </c>
      <c r="K33" s="13" t="str">
        <f>IF(PARCELAS[[#This Row],[DATA]]="","",INDEX(MESES[MÊS],MATCH(MONTH(PARCELAS[[#This Row],[DATA]]),MESES[N],0)))</f>
        <v>julho</v>
      </c>
      <c r="L33" s="12">
        <f>IF(YEAR(PARCELAS[[#This Row],[DATA]])=1900,"",YEAR(PARCELAS[[#This Row],[DATA]]))</f>
        <v>2026</v>
      </c>
      <c r="M33" s="15" t="s">
        <v>46</v>
      </c>
    </row>
    <row r="34" spans="1:13" ht="15.75">
      <c r="A34" s="8" t="s">
        <v>23</v>
      </c>
      <c r="B34" s="5" t="str">
        <f>IFERROR(INDEX(GERAL[CPF],MATCH(PARCELAS[[#This Row],[NOME]],GERAL[NOME],0)),"-")</f>
        <v>341.267.018-93</v>
      </c>
      <c r="C34" s="16">
        <f ca="1">COUNTIF(PARCELAS[[#Headers],[NOME]]:PARCELAS[[#This Row],[NOME]],PARCELAS[[#This Row],[NOME]])</f>
        <v>11</v>
      </c>
      <c r="D34" s="10">
        <v>1000</v>
      </c>
      <c r="E34" s="9">
        <v>46214</v>
      </c>
      <c r="F34" s="11" t="s">
        <v>11</v>
      </c>
      <c r="G34" s="12" t="str">
        <f>IFERROR(INDEX(GERAL[PIX],MATCH(PARCELAS[[#This Row],[NOME]],GERAL[NOME],0)),"-")</f>
        <v>(82)99929-1488</v>
      </c>
      <c r="H34" t="s">
        <v>42</v>
      </c>
      <c r="I34" s="14" cm="1">
        <f t="array" ref="I34">IFERROR(IF(PARCELAS[[#This Row],[DATA]]&lt;&gt;"",30000 - SUMPRODUCT((PARCELAS[NOME]=PARCELAS[[#This Row],[NOME]])*(ROW(PARCELAS[NOME])&lt;=ROW(PARCELAS[[#This Row],[NOME]]))*PARCELAS[VALOR]),I33),"")</f>
        <v>6500</v>
      </c>
      <c r="J34" s="12" t="str">
        <f>IF(DAY(PARCELAS[[#This Row],[DATA]])=0,"",TEXT(DAY(PARCELAS[[#This Row],[DATA]]),"00"))</f>
        <v>11</v>
      </c>
      <c r="K34" s="13" t="str">
        <f>IF(PARCELAS[[#This Row],[DATA]]="","",INDEX(MESES[MÊS],MATCH(MONTH(PARCELAS[[#This Row],[DATA]]),MESES[N],0)))</f>
        <v>julho</v>
      </c>
      <c r="L34" s="12">
        <f>IF(YEAR(PARCELAS[[#This Row],[DATA]])=1900,"",YEAR(PARCELAS[[#This Row],[DATA]]))</f>
        <v>2026</v>
      </c>
      <c r="M34" s="15" t="s">
        <v>46</v>
      </c>
    </row>
    <row r="35" spans="1:13" ht="15.75">
      <c r="A35" s="8" t="s">
        <v>12</v>
      </c>
      <c r="B35" s="5" t="str">
        <f>IFERROR(INDEX(GERAL[CPF],MATCH(PARCELAS[[#This Row],[NOME]],GERAL[NOME],0)),"-")</f>
        <v>046.931.264-54</v>
      </c>
      <c r="C35" s="16">
        <f ca="1">COUNTIF(PARCELAS[[#Headers],[NOME]]:PARCELAS[[#This Row],[NOME]],PARCELAS[[#This Row],[NOME]])</f>
        <v>12</v>
      </c>
      <c r="D35" s="10">
        <v>1000</v>
      </c>
      <c r="E35" s="9">
        <v>46244</v>
      </c>
      <c r="F35" s="11" t="s">
        <v>11</v>
      </c>
      <c r="G35" s="12" t="str">
        <f>IFERROR(INDEX(GERAL[PIX],MATCH(PARCELAS[[#This Row],[NOME]],GERAL[NOME],0)),"-")</f>
        <v>046.931.264-54</v>
      </c>
      <c r="H35" t="s">
        <v>42</v>
      </c>
      <c r="I35" s="14" cm="1">
        <f t="array" ref="I35">IFERROR(IF(PARCELAS[[#This Row],[DATA]]&lt;&gt;"",30000 - SUMPRODUCT((PARCELAS[NOME]=PARCELAS[[#This Row],[NOME]])*(ROW(PARCELAS[NOME])&lt;=ROW(PARCELAS[[#This Row],[NOME]]))*PARCELAS[VALOR]),I34),"")</f>
        <v>5500</v>
      </c>
      <c r="J35" s="12" t="str">
        <f>IF(DAY(PARCELAS[[#This Row],[DATA]])=0,"",TEXT(DAY(PARCELAS[[#This Row],[DATA]]),"00"))</f>
        <v>10</v>
      </c>
      <c r="K35" s="13" t="str">
        <f>IF(PARCELAS[[#This Row],[DATA]]="","",INDEX(MESES[MÊS],MATCH(MONTH(PARCELAS[[#This Row],[DATA]]),MESES[N],0)))</f>
        <v>agosto</v>
      </c>
      <c r="L35" s="12">
        <f>IF(YEAR(PARCELAS[[#This Row],[DATA]])=1900,"",YEAR(PARCELAS[[#This Row],[DATA]]))</f>
        <v>2026</v>
      </c>
      <c r="M35" t="s">
        <v>43</v>
      </c>
    </row>
    <row r="36" spans="1:13" ht="15.75">
      <c r="A36" s="8" t="s">
        <v>17</v>
      </c>
      <c r="B36" s="5" t="str">
        <f>IFERROR(INDEX(GERAL[CPF],MATCH(PARCELAS[[#This Row],[NOME]],GERAL[NOME],0)),"-")</f>
        <v>064.142.434-50</v>
      </c>
      <c r="C36" s="16">
        <f ca="1">COUNTIF(PARCELAS[[#Headers],[NOME]]:PARCELAS[[#This Row],[NOME]],PARCELAS[[#This Row],[NOME]])</f>
        <v>12</v>
      </c>
      <c r="D36" s="10">
        <v>1000</v>
      </c>
      <c r="E36" s="9">
        <v>46244</v>
      </c>
      <c r="F36" s="11" t="s">
        <v>11</v>
      </c>
      <c r="G36" s="12" t="str">
        <f>IFERROR(INDEX(GERAL[PIX],MATCH(PARCELAS[[#This Row],[NOME]],GERAL[NOME],0)),"-")</f>
        <v>064.142.434-50</v>
      </c>
      <c r="H36" t="s">
        <v>45</v>
      </c>
      <c r="I36" s="14" cm="1">
        <f t="array" ref="I36">IFERROR(IF(PARCELAS[[#This Row],[DATA]]&lt;&gt;"",30000 - SUMPRODUCT((PARCELAS[NOME]=PARCELAS[[#This Row],[NOME]])*(ROW(PARCELAS[NOME])&lt;=ROW(PARCELAS[[#This Row],[NOME]]))*PARCELAS[VALOR]),I35),"")</f>
        <v>5500</v>
      </c>
      <c r="J36" s="12" t="str">
        <f>IF(DAY(PARCELAS[[#This Row],[DATA]])=0,"",TEXT(DAY(PARCELAS[[#This Row],[DATA]]),"00"))</f>
        <v>10</v>
      </c>
      <c r="K36" s="13" t="str">
        <f>IF(PARCELAS[[#This Row],[DATA]]="","",INDEX(MESES[MÊS],MATCH(MONTH(PARCELAS[[#This Row],[DATA]]),MESES[N],0)))</f>
        <v>agosto</v>
      </c>
      <c r="L36" s="12">
        <f>IF(YEAR(PARCELAS[[#This Row],[DATA]])=1900,"",YEAR(PARCELAS[[#This Row],[DATA]]))</f>
        <v>2026</v>
      </c>
      <c r="M36" s="15" t="s">
        <v>46</v>
      </c>
    </row>
    <row r="37" spans="1:13" ht="15.75">
      <c r="A37" s="8" t="s">
        <v>23</v>
      </c>
      <c r="B37" s="5" t="str">
        <f>IFERROR(INDEX(GERAL[CPF],MATCH(PARCELAS[[#This Row],[NOME]],GERAL[NOME],0)),"-")</f>
        <v>341.267.018-93</v>
      </c>
      <c r="C37" s="16">
        <f ca="1">COUNTIF(PARCELAS[[#Headers],[NOME]]:PARCELAS[[#This Row],[NOME]],PARCELAS[[#This Row],[NOME]])</f>
        <v>12</v>
      </c>
      <c r="D37" s="10">
        <v>1000</v>
      </c>
      <c r="E37" s="9">
        <v>46244</v>
      </c>
      <c r="F37" s="11" t="s">
        <v>11</v>
      </c>
      <c r="G37" s="12" t="str">
        <f>IFERROR(INDEX(GERAL[PIX],MATCH(PARCELAS[[#This Row],[NOME]],GERAL[NOME],0)),"-")</f>
        <v>(82)99929-1488</v>
      </c>
      <c r="H37" t="s">
        <v>42</v>
      </c>
      <c r="I37" s="14" cm="1">
        <f t="array" ref="I37">IFERROR(IF(PARCELAS[[#This Row],[DATA]]&lt;&gt;"",30000 - SUMPRODUCT((PARCELAS[NOME]=PARCELAS[[#This Row],[NOME]])*(ROW(PARCELAS[NOME])&lt;=ROW(PARCELAS[[#This Row],[NOME]]))*PARCELAS[VALOR]),I36),"")</f>
        <v>5500</v>
      </c>
      <c r="J37" s="12" t="str">
        <f>IF(DAY(PARCELAS[[#This Row],[DATA]])=0,"",TEXT(DAY(PARCELAS[[#This Row],[DATA]]),"00"))</f>
        <v>10</v>
      </c>
      <c r="K37" s="13" t="str">
        <f>IF(PARCELAS[[#This Row],[DATA]]="","",INDEX(MESES[MÊS],MATCH(MONTH(PARCELAS[[#This Row],[DATA]]),MESES[N],0)))</f>
        <v>agosto</v>
      </c>
      <c r="L37" s="12">
        <f>IF(YEAR(PARCELAS[[#This Row],[DATA]])=1900,"",YEAR(PARCELAS[[#This Row],[DATA]]))</f>
        <v>2026</v>
      </c>
      <c r="M37" s="15" t="s">
        <v>46</v>
      </c>
    </row>
    <row r="38" spans="1:13" ht="15.75">
      <c r="A38" s="8" t="s">
        <v>12</v>
      </c>
      <c r="B38" s="5" t="str">
        <f>IFERROR(INDEX(GERAL[CPF],MATCH(PARCELAS[[#This Row],[NOME]],GERAL[NOME],0)),"-")</f>
        <v>046.931.264-54</v>
      </c>
      <c r="C38" s="16">
        <f ca="1">COUNTIF(PARCELAS[[#Headers],[NOME]]:PARCELAS[[#This Row],[NOME]],PARCELAS[[#This Row],[NOME]])</f>
        <v>13</v>
      </c>
      <c r="D38" s="10">
        <v>1000</v>
      </c>
      <c r="E38" s="9">
        <v>46276</v>
      </c>
      <c r="F38" s="11" t="s">
        <v>11</v>
      </c>
      <c r="G38" s="12" t="str">
        <f>IFERROR(INDEX(GERAL[PIX],MATCH(PARCELAS[[#This Row],[NOME]],GERAL[NOME],0)),"-")</f>
        <v>046.931.264-54</v>
      </c>
      <c r="H38" t="s">
        <v>42</v>
      </c>
      <c r="I38" s="14" cm="1">
        <f t="array" ref="I38">IFERROR(IF(PARCELAS[[#This Row],[DATA]]&lt;&gt;"",30000 - SUMPRODUCT((PARCELAS[NOME]=PARCELAS[[#This Row],[NOME]])*(ROW(PARCELAS[NOME])&lt;=ROW(PARCELAS[[#This Row],[NOME]]))*PARCELAS[VALOR]),I37),"")</f>
        <v>4500</v>
      </c>
      <c r="J38" s="12" t="str">
        <f>IF(DAY(PARCELAS[[#This Row],[DATA]])=0,"",TEXT(DAY(PARCELAS[[#This Row],[DATA]]),"00"))</f>
        <v>11</v>
      </c>
      <c r="K38" s="13" t="str">
        <f>IF(PARCELAS[[#This Row],[DATA]]="","",INDEX(MESES[MÊS],MATCH(MONTH(PARCELAS[[#This Row],[DATA]]),MESES[N],0)))</f>
        <v>setembro</v>
      </c>
      <c r="L38" s="12">
        <f>IF(YEAR(PARCELAS[[#This Row],[DATA]])=1900,"",YEAR(PARCELAS[[#This Row],[DATA]]))</f>
        <v>2026</v>
      </c>
      <c r="M38" t="s">
        <v>43</v>
      </c>
    </row>
    <row r="39" spans="1:13" ht="15.75">
      <c r="A39" s="8" t="s">
        <v>17</v>
      </c>
      <c r="B39" s="5" t="str">
        <f>IFERROR(INDEX(GERAL[CPF],MATCH(PARCELAS[[#This Row],[NOME]],GERAL[NOME],0)),"-")</f>
        <v>064.142.434-50</v>
      </c>
      <c r="C39" s="16">
        <f ca="1">COUNTIF(PARCELAS[[#Headers],[NOME]]:PARCELAS[[#This Row],[NOME]],PARCELAS[[#This Row],[NOME]])</f>
        <v>13</v>
      </c>
      <c r="D39" s="10">
        <v>1000</v>
      </c>
      <c r="E39" s="9">
        <v>46276</v>
      </c>
      <c r="F39" s="11" t="s">
        <v>11</v>
      </c>
      <c r="G39" s="12" t="str">
        <f>IFERROR(INDEX(GERAL[PIX],MATCH(PARCELAS[[#This Row],[NOME]],GERAL[NOME],0)),"-")</f>
        <v>064.142.434-50</v>
      </c>
      <c r="H39" t="s">
        <v>45</v>
      </c>
      <c r="I39" s="14" cm="1">
        <f t="array" ref="I39">IFERROR(IF(PARCELAS[[#This Row],[DATA]]&lt;&gt;"",30000 - SUMPRODUCT((PARCELAS[NOME]=PARCELAS[[#This Row],[NOME]])*(ROW(PARCELAS[NOME])&lt;=ROW(PARCELAS[[#This Row],[NOME]]))*PARCELAS[VALOR]),I38),"")</f>
        <v>4500</v>
      </c>
      <c r="J39" s="12" t="str">
        <f>IF(DAY(PARCELAS[[#This Row],[DATA]])=0,"",TEXT(DAY(PARCELAS[[#This Row],[DATA]]),"00"))</f>
        <v>11</v>
      </c>
      <c r="K39" s="13" t="str">
        <f>IF(PARCELAS[[#This Row],[DATA]]="","",INDEX(MESES[MÊS],MATCH(MONTH(PARCELAS[[#This Row],[DATA]]),MESES[N],0)))</f>
        <v>setembro</v>
      </c>
      <c r="L39" s="12">
        <f>IF(YEAR(PARCELAS[[#This Row],[DATA]])=1900,"",YEAR(PARCELAS[[#This Row],[DATA]]))</f>
        <v>2026</v>
      </c>
      <c r="M39" s="15" t="s">
        <v>46</v>
      </c>
    </row>
    <row r="40" spans="1:13" ht="15.75">
      <c r="A40" s="8" t="s">
        <v>23</v>
      </c>
      <c r="B40" s="5" t="str">
        <f>IFERROR(INDEX(GERAL[CPF],MATCH(PARCELAS[[#This Row],[NOME]],GERAL[NOME],0)),"-")</f>
        <v>341.267.018-93</v>
      </c>
      <c r="C40" s="16">
        <f ca="1">COUNTIF(PARCELAS[[#Headers],[NOME]]:PARCELAS[[#This Row],[NOME]],PARCELAS[[#This Row],[NOME]])</f>
        <v>13</v>
      </c>
      <c r="D40" s="10">
        <v>1000</v>
      </c>
      <c r="E40" s="9">
        <v>46276</v>
      </c>
      <c r="F40" s="11" t="s">
        <v>11</v>
      </c>
      <c r="G40" s="12" t="str">
        <f>IFERROR(INDEX(GERAL[PIX],MATCH(PARCELAS[[#This Row],[NOME]],GERAL[NOME],0)),"-")</f>
        <v>(82)99929-1488</v>
      </c>
      <c r="H40" t="s">
        <v>42</v>
      </c>
      <c r="I40" s="14" cm="1">
        <f t="array" ref="I40">IFERROR(IF(PARCELAS[[#This Row],[DATA]]&lt;&gt;"",30000 - SUMPRODUCT((PARCELAS[NOME]=PARCELAS[[#This Row],[NOME]])*(ROW(PARCELAS[NOME])&lt;=ROW(PARCELAS[[#This Row],[NOME]]))*PARCELAS[VALOR]),I39),"")</f>
        <v>4500</v>
      </c>
      <c r="J40" s="12" t="str">
        <f>IF(DAY(PARCELAS[[#This Row],[DATA]])=0,"",TEXT(DAY(PARCELAS[[#This Row],[DATA]]),"00"))</f>
        <v>11</v>
      </c>
      <c r="K40" s="13" t="str">
        <f>IF(PARCELAS[[#This Row],[DATA]]="","",INDEX(MESES[MÊS],MATCH(MONTH(PARCELAS[[#This Row],[DATA]]),MESES[N],0)))</f>
        <v>setembro</v>
      </c>
      <c r="L40" s="12">
        <f>IF(YEAR(PARCELAS[[#This Row],[DATA]])=1900,"",YEAR(PARCELAS[[#This Row],[DATA]]))</f>
        <v>2026</v>
      </c>
      <c r="M40" s="15" t="s">
        <v>46</v>
      </c>
    </row>
    <row r="41" spans="1:13" ht="15.75">
      <c r="A41" s="8" t="s">
        <v>12</v>
      </c>
      <c r="B41" s="5" t="str">
        <f>IFERROR(INDEX(GERAL[CPF],MATCH(PARCELAS[[#This Row],[NOME]],GERAL[NOME],0)),"-")</f>
        <v>046.931.264-54</v>
      </c>
      <c r="C41" s="16">
        <f ca="1">COUNTIF(PARCELAS[[#Headers],[NOME]]:PARCELAS[[#This Row],[NOME]],PARCELAS[[#This Row],[NOME]])</f>
        <v>14</v>
      </c>
      <c r="D41" s="10">
        <v>1000</v>
      </c>
      <c r="E41" s="9"/>
      <c r="F41" s="11" t="s">
        <v>11</v>
      </c>
      <c r="G41" s="12" t="str">
        <f>IFERROR(INDEX(GERAL[PIX],MATCH(PARCELAS[[#This Row],[NOME]],GERAL[NOME],0)),"-")</f>
        <v>046.931.264-54</v>
      </c>
      <c r="H41" t="s">
        <v>42</v>
      </c>
      <c r="I41" s="14" cm="1">
        <f t="array" ref="I41">IFERROR(IF(PARCELAS[[#This Row],[DATA]]&lt;&gt;"",30000 - SUMPRODUCT((PARCELAS[NOME]=PARCELAS[[#This Row],[NOME]])*(ROW(PARCELAS[NOME])&lt;=ROW(PARCELAS[[#This Row],[NOME]]))*PARCELAS[VALOR]),I40),"")</f>
        <v>4500</v>
      </c>
      <c r="J41" s="12" t="str">
        <f>IF(DAY(PARCELAS[[#This Row],[DATA]])=0,"",TEXT(DAY(PARCELAS[[#This Row],[DATA]]),"00"))</f>
        <v/>
      </c>
      <c r="K41" s="13" t="str">
        <f>IF(PARCELAS[[#This Row],[DATA]]="","",INDEX(MESES[MÊS],MATCH(MONTH(PARCELAS[[#This Row],[DATA]]),MESES[N],0)))</f>
        <v/>
      </c>
      <c r="L41" s="12" t="str">
        <f>IF(YEAR(PARCELAS[[#This Row],[DATA]])=1900,"",YEAR(PARCELAS[[#This Row],[DATA]]))</f>
        <v/>
      </c>
      <c r="M41" t="s">
        <v>43</v>
      </c>
    </row>
    <row r="42" spans="1:13" ht="15.75">
      <c r="A42" s="8" t="s">
        <v>17</v>
      </c>
      <c r="B42" s="5" t="str">
        <f>IFERROR(INDEX(GERAL[CPF],MATCH(PARCELAS[[#This Row],[NOME]],GERAL[NOME],0)),"-")</f>
        <v>064.142.434-50</v>
      </c>
      <c r="C42" s="16">
        <f ca="1">COUNTIF(PARCELAS[[#Headers],[NOME]]:PARCELAS[[#This Row],[NOME]],PARCELAS[[#This Row],[NOME]])</f>
        <v>14</v>
      </c>
      <c r="D42" s="10">
        <v>1000</v>
      </c>
      <c r="E42" s="9"/>
      <c r="F42" s="11" t="s">
        <v>11</v>
      </c>
      <c r="G42" s="12" t="str">
        <f>IFERROR(INDEX(GERAL[PIX],MATCH(PARCELAS[[#This Row],[NOME]],GERAL[NOME],0)),"-")</f>
        <v>064.142.434-50</v>
      </c>
      <c r="H42" t="s">
        <v>45</v>
      </c>
      <c r="I42" s="14" cm="1">
        <f t="array" ref="I42">IFERROR(IF(PARCELAS[[#This Row],[DATA]]&lt;&gt;"",30000 - SUMPRODUCT((PARCELAS[NOME]=PARCELAS[[#This Row],[NOME]])*(ROW(PARCELAS[NOME])&lt;=ROW(PARCELAS[[#This Row],[NOME]]))*PARCELAS[VALOR]),I41),"")</f>
        <v>4500</v>
      </c>
      <c r="J42" s="12" t="str">
        <f>IF(DAY(PARCELAS[[#This Row],[DATA]])=0,"",TEXT(DAY(PARCELAS[[#This Row],[DATA]]),"00"))</f>
        <v/>
      </c>
      <c r="K42" s="13" t="str">
        <f>IF(PARCELAS[[#This Row],[DATA]]="","",INDEX(MESES[MÊS],MATCH(MONTH(PARCELAS[[#This Row],[DATA]]),MESES[N],0)))</f>
        <v/>
      </c>
      <c r="L42" s="12" t="str">
        <f>IF(YEAR(PARCELAS[[#This Row],[DATA]])=1900,"",YEAR(PARCELAS[[#This Row],[DATA]]))</f>
        <v/>
      </c>
      <c r="M42" s="15" t="s">
        <v>46</v>
      </c>
    </row>
    <row r="43" spans="1:13" ht="15.75">
      <c r="A43" s="8" t="s">
        <v>23</v>
      </c>
      <c r="B43" s="5" t="str">
        <f>IFERROR(INDEX(GERAL[CPF],MATCH(PARCELAS[[#This Row],[NOME]],GERAL[NOME],0)),"-")</f>
        <v>341.267.018-93</v>
      </c>
      <c r="C43" s="16">
        <f ca="1">COUNTIF(PARCELAS[[#Headers],[NOME]]:PARCELAS[[#This Row],[NOME]],PARCELAS[[#This Row],[NOME]])</f>
        <v>14</v>
      </c>
      <c r="D43" s="10">
        <v>1000</v>
      </c>
      <c r="E43" s="9"/>
      <c r="F43" s="11" t="s">
        <v>11</v>
      </c>
      <c r="G43" s="12" t="str">
        <f>IFERROR(INDEX(GERAL[PIX],MATCH(PARCELAS[[#This Row],[NOME]],GERAL[NOME],0)),"-")</f>
        <v>(82)99929-1488</v>
      </c>
      <c r="H43" t="s">
        <v>42</v>
      </c>
      <c r="I43" s="14" cm="1">
        <f t="array" ref="I43">IFERROR(IF(PARCELAS[[#This Row],[DATA]]&lt;&gt;"",30000 - SUMPRODUCT((PARCELAS[NOME]=PARCELAS[[#This Row],[NOME]])*(ROW(PARCELAS[NOME])&lt;=ROW(PARCELAS[[#This Row],[NOME]]))*PARCELAS[VALOR]),I42),"")</f>
        <v>4500</v>
      </c>
      <c r="J43" s="12" t="str">
        <f>IF(DAY(PARCELAS[[#This Row],[DATA]])=0,"",TEXT(DAY(PARCELAS[[#This Row],[DATA]]),"00"))</f>
        <v/>
      </c>
      <c r="K43" s="13" t="str">
        <f>IF(PARCELAS[[#This Row],[DATA]]="","",INDEX(MESES[MÊS],MATCH(MONTH(PARCELAS[[#This Row],[DATA]]),MESES[N],0)))</f>
        <v/>
      </c>
      <c r="L43" s="12" t="str">
        <f>IF(YEAR(PARCELAS[[#This Row],[DATA]])=1900,"",YEAR(PARCELAS[[#This Row],[DATA]]))</f>
        <v/>
      </c>
      <c r="M43" s="15" t="s">
        <v>46</v>
      </c>
    </row>
    <row r="44" spans="1:13" ht="15.75">
      <c r="A44" s="8" t="s">
        <v>12</v>
      </c>
      <c r="B44" s="5" t="str">
        <f>IFERROR(INDEX(GERAL[CPF],MATCH(PARCELAS[[#This Row],[NOME]],GERAL[NOME],0)),"-")</f>
        <v>046.931.264-54</v>
      </c>
      <c r="C44" s="16">
        <f ca="1">COUNTIF(PARCELAS[[#Headers],[NOME]]:PARCELAS[[#This Row],[NOME]],PARCELAS[[#This Row],[NOME]])</f>
        <v>15</v>
      </c>
      <c r="D44" s="10">
        <v>1000</v>
      </c>
      <c r="E44" s="9"/>
      <c r="F44" s="11" t="s">
        <v>11</v>
      </c>
      <c r="G44" s="12" t="str">
        <f>IFERROR(INDEX(GERAL[PIX],MATCH(PARCELAS[[#This Row],[NOME]],GERAL[NOME],0)),"-")</f>
        <v>046.931.264-54</v>
      </c>
      <c r="H44" t="s">
        <v>42</v>
      </c>
      <c r="I44" s="14" cm="1">
        <f t="array" ref="I44">IFERROR(IF(PARCELAS[[#This Row],[DATA]]&lt;&gt;"",30000 - SUMPRODUCT((PARCELAS[NOME]=PARCELAS[[#This Row],[NOME]])*(ROW(PARCELAS[NOME])&lt;=ROW(PARCELAS[[#This Row],[NOME]]))*PARCELAS[VALOR]),I43),"")</f>
        <v>4500</v>
      </c>
      <c r="J44" s="12" t="str">
        <f>IF(DAY(PARCELAS[[#This Row],[DATA]])=0,"",TEXT(DAY(PARCELAS[[#This Row],[DATA]]),"00"))</f>
        <v/>
      </c>
      <c r="K44" s="13" t="str">
        <f>IF(PARCELAS[[#This Row],[DATA]]="","",INDEX(MESES[MÊS],MATCH(MONTH(PARCELAS[[#This Row],[DATA]]),MESES[N],0)))</f>
        <v/>
      </c>
      <c r="L44" s="12" t="str">
        <f>IF(YEAR(PARCELAS[[#This Row],[DATA]])=1900,"",YEAR(PARCELAS[[#This Row],[DATA]]))</f>
        <v/>
      </c>
      <c r="M44" t="s">
        <v>43</v>
      </c>
    </row>
    <row r="45" spans="1:13" ht="15.75">
      <c r="A45" s="8" t="s">
        <v>17</v>
      </c>
      <c r="B45" s="5" t="str">
        <f>IFERROR(INDEX(GERAL[CPF],MATCH(PARCELAS[[#This Row],[NOME]],GERAL[NOME],0)),"-")</f>
        <v>064.142.434-50</v>
      </c>
      <c r="C45" s="16">
        <f ca="1">COUNTIF(PARCELAS[[#Headers],[NOME]]:PARCELAS[[#This Row],[NOME]],PARCELAS[[#This Row],[NOME]])</f>
        <v>15</v>
      </c>
      <c r="D45" s="10">
        <v>1000</v>
      </c>
      <c r="E45" s="9"/>
      <c r="F45" s="11" t="s">
        <v>11</v>
      </c>
      <c r="G45" s="12" t="str">
        <f>IFERROR(INDEX(GERAL[PIX],MATCH(PARCELAS[[#This Row],[NOME]],GERAL[NOME],0)),"-")</f>
        <v>064.142.434-50</v>
      </c>
      <c r="H45" t="s">
        <v>45</v>
      </c>
      <c r="I45" s="14" cm="1">
        <f t="array" ref="I45">IFERROR(IF(PARCELAS[[#This Row],[DATA]]&lt;&gt;"",30000 - SUMPRODUCT((PARCELAS[NOME]=PARCELAS[[#This Row],[NOME]])*(ROW(PARCELAS[NOME])&lt;=ROW(PARCELAS[[#This Row],[NOME]]))*PARCELAS[VALOR]),I44),"")</f>
        <v>4500</v>
      </c>
      <c r="J45" s="12" t="str">
        <f>IF(DAY(PARCELAS[[#This Row],[DATA]])=0,"",TEXT(DAY(PARCELAS[[#This Row],[DATA]]),"00"))</f>
        <v/>
      </c>
      <c r="K45" s="13" t="str">
        <f>IF(PARCELAS[[#This Row],[DATA]]="","",INDEX(MESES[MÊS],MATCH(MONTH(PARCELAS[[#This Row],[DATA]]),MESES[N],0)))</f>
        <v/>
      </c>
      <c r="L45" s="12" t="str">
        <f>IF(YEAR(PARCELAS[[#This Row],[DATA]])=1900,"",YEAR(PARCELAS[[#This Row],[DATA]]))</f>
        <v/>
      </c>
      <c r="M45" s="15" t="s">
        <v>46</v>
      </c>
    </row>
    <row r="46" spans="1:13" ht="15.75">
      <c r="A46" s="8" t="s">
        <v>23</v>
      </c>
      <c r="B46" s="5" t="str">
        <f>IFERROR(INDEX(GERAL[CPF],MATCH(PARCELAS[[#This Row],[NOME]],GERAL[NOME],0)),"-")</f>
        <v>341.267.018-93</v>
      </c>
      <c r="C46" s="16">
        <f ca="1">COUNTIF(PARCELAS[[#Headers],[NOME]]:PARCELAS[[#This Row],[NOME]],PARCELAS[[#This Row],[NOME]])</f>
        <v>15</v>
      </c>
      <c r="D46" s="10">
        <v>1000</v>
      </c>
      <c r="E46" s="9"/>
      <c r="F46" s="11" t="s">
        <v>11</v>
      </c>
      <c r="G46" s="12" t="str">
        <f>IFERROR(INDEX(GERAL[PIX],MATCH(PARCELAS[[#This Row],[NOME]],GERAL[NOME],0)),"-")</f>
        <v>(82)99929-1488</v>
      </c>
      <c r="H46" t="s">
        <v>42</v>
      </c>
      <c r="I46" s="14" cm="1">
        <f t="array" ref="I46">IFERROR(IF(PARCELAS[[#This Row],[DATA]]&lt;&gt;"",30000 - SUMPRODUCT((PARCELAS[NOME]=PARCELAS[[#This Row],[NOME]])*(ROW(PARCELAS[NOME])&lt;=ROW(PARCELAS[[#This Row],[NOME]]))*PARCELAS[VALOR]),I45),"")</f>
        <v>4500</v>
      </c>
      <c r="J46" s="12" t="str">
        <f>IF(DAY(PARCELAS[[#This Row],[DATA]])=0,"",TEXT(DAY(PARCELAS[[#This Row],[DATA]]),"00"))</f>
        <v/>
      </c>
      <c r="K46" s="13" t="str">
        <f>IF(PARCELAS[[#This Row],[DATA]]="","",INDEX(MESES[MÊS],MATCH(MONTH(PARCELAS[[#This Row],[DATA]]),MESES[N],0)))</f>
        <v/>
      </c>
      <c r="L46" s="12" t="str">
        <f>IF(YEAR(PARCELAS[[#This Row],[DATA]])=1900,"",YEAR(PARCELAS[[#This Row],[DATA]]))</f>
        <v/>
      </c>
      <c r="M46" s="15" t="s">
        <v>46</v>
      </c>
    </row>
    <row r="47" spans="1:13" ht="15.75">
      <c r="A47" s="8" t="s">
        <v>12</v>
      </c>
      <c r="B47" s="5" t="str">
        <f>IFERROR(INDEX(GERAL[CPF],MATCH(PARCELAS[[#This Row],[NOME]],GERAL[NOME],0)),"-")</f>
        <v>046.931.264-54</v>
      </c>
      <c r="C47" s="16">
        <f ca="1">COUNTIF(PARCELAS[[#Headers],[NOME]]:PARCELAS[[#This Row],[NOME]],PARCELAS[[#This Row],[NOME]])</f>
        <v>16</v>
      </c>
      <c r="D47" s="10">
        <v>1000</v>
      </c>
      <c r="E47" s="9"/>
      <c r="F47" s="11" t="s">
        <v>11</v>
      </c>
      <c r="G47" s="25" t="str">
        <f>IFERROR(INDEX(GERAL[PIX],MATCH(PARCELAS[[#This Row],[NOME]],GERAL[NOME],0)),"-")</f>
        <v>046.931.264-54</v>
      </c>
      <c r="I47" s="26" cm="1">
        <f t="array" ref="I47">IFERROR(IF(PARCELAS[[#This Row],[DATA]]&lt;&gt;"",30000 - SUMPRODUCT((PARCELAS[NOME]=PARCELAS[[#This Row],[NOME]])*(ROW(PARCELAS[NOME])&lt;=ROW(PARCELAS[[#This Row],[NOME]]))*PARCELAS[VALOR]),I46),"")</f>
        <v>4500</v>
      </c>
      <c r="J47" s="25" t="str">
        <f>IF(DAY(PARCELAS[[#This Row],[DATA]])=0,"",TEXT(DAY(PARCELAS[[#This Row],[DATA]]),"00"))</f>
        <v/>
      </c>
      <c r="K47" s="27" t="str">
        <f>IF(PARCELAS[[#This Row],[DATA]]="","",INDEX(MESES[MÊS],MATCH(MONTH(PARCELAS[[#This Row],[DATA]]),MESES[N],0)))</f>
        <v/>
      </c>
      <c r="L47" s="25" t="str">
        <f>IF(YEAR(PARCELAS[[#This Row],[DATA]])=1900,"",YEAR(PARCELAS[[#This Row],[DATA]]))</f>
        <v/>
      </c>
      <c r="M47" s="28" t="s">
        <v>43</v>
      </c>
    </row>
    <row r="48" spans="1:13" ht="15.75">
      <c r="A48" s="8" t="s">
        <v>17</v>
      </c>
      <c r="B48" s="5" t="str">
        <f>IFERROR(INDEX(GERAL[CPF],MATCH(PARCELAS[[#This Row],[NOME]],GERAL[NOME],0)),"-")</f>
        <v>064.142.434-50</v>
      </c>
      <c r="C48" s="16">
        <f ca="1">COUNTIF(PARCELAS[[#Headers],[NOME]]:PARCELAS[[#This Row],[NOME]],PARCELAS[[#This Row],[NOME]])</f>
        <v>16</v>
      </c>
      <c r="D48" s="10">
        <v>1000</v>
      </c>
      <c r="E48" s="9"/>
      <c r="F48" s="11" t="s">
        <v>11</v>
      </c>
      <c r="G48" s="25" t="str">
        <f>IFERROR(INDEX(GERAL[PIX],MATCH(PARCELAS[[#This Row],[NOME]],GERAL[NOME],0)),"-")</f>
        <v>064.142.434-50</v>
      </c>
      <c r="I48" s="26" cm="1">
        <f t="array" ref="I48">IFERROR(IF(PARCELAS[[#This Row],[DATA]]&lt;&gt;"",30000 - SUMPRODUCT((PARCELAS[NOME]=PARCELAS[[#This Row],[NOME]])*(ROW(PARCELAS[NOME])&lt;=ROW(PARCELAS[[#This Row],[NOME]]))*PARCELAS[VALOR]),I47),"")</f>
        <v>4500</v>
      </c>
      <c r="J48" s="25" t="str">
        <f>IF(DAY(PARCELAS[[#This Row],[DATA]])=0,"",TEXT(DAY(PARCELAS[[#This Row],[DATA]]),"00"))</f>
        <v/>
      </c>
      <c r="K48" s="27" t="str">
        <f>IF(PARCELAS[[#This Row],[DATA]]="","",INDEX(MESES[MÊS],MATCH(MONTH(PARCELAS[[#This Row],[DATA]]),MESES[N],0)))</f>
        <v/>
      </c>
      <c r="L48" s="25" t="str">
        <f>IF(YEAR(PARCELAS[[#This Row],[DATA]])=1900,"",YEAR(PARCELAS[[#This Row],[DATA]]))</f>
        <v/>
      </c>
      <c r="M48" s="28" t="s">
        <v>46</v>
      </c>
    </row>
    <row r="49" spans="1:13" ht="15.75">
      <c r="A49" s="8" t="s">
        <v>23</v>
      </c>
      <c r="B49" s="5" t="str">
        <f>IFERROR(INDEX(GERAL[CPF],MATCH(PARCELAS[[#This Row],[NOME]],GERAL[NOME],0)),"-")</f>
        <v>341.267.018-93</v>
      </c>
      <c r="C49" s="16">
        <f ca="1">COUNTIF(PARCELAS[[#Headers],[NOME]]:PARCELAS[[#This Row],[NOME]],PARCELAS[[#This Row],[NOME]])</f>
        <v>16</v>
      </c>
      <c r="D49" s="10">
        <v>1000</v>
      </c>
      <c r="E49" s="9"/>
      <c r="F49" s="11" t="s">
        <v>11</v>
      </c>
      <c r="G49" s="25" t="str">
        <f>IFERROR(INDEX(GERAL[PIX],MATCH(PARCELAS[[#This Row],[NOME]],GERAL[NOME],0)),"-")</f>
        <v>(82)99929-1488</v>
      </c>
      <c r="I49" s="26" cm="1">
        <f t="array" ref="I49">IFERROR(IF(PARCELAS[[#This Row],[DATA]]&lt;&gt;"",30000 - SUMPRODUCT((PARCELAS[NOME]=PARCELAS[[#This Row],[NOME]])*(ROW(PARCELAS[NOME])&lt;=ROW(PARCELAS[[#This Row],[NOME]]))*PARCELAS[VALOR]),I48),"")</f>
        <v>4500</v>
      </c>
      <c r="J49" s="25" t="str">
        <f>IF(DAY(PARCELAS[[#This Row],[DATA]])=0,"",TEXT(DAY(PARCELAS[[#This Row],[DATA]]),"00"))</f>
        <v/>
      </c>
      <c r="K49" s="27" t="str">
        <f>IF(PARCELAS[[#This Row],[DATA]]="","",INDEX(MESES[MÊS],MATCH(MONTH(PARCELAS[[#This Row],[DATA]]),MESES[N],0)))</f>
        <v/>
      </c>
      <c r="L49" s="25" t="str">
        <f>IF(YEAR(PARCELAS[[#This Row],[DATA]])=1900,"",YEAR(PARCELAS[[#This Row],[DATA]]))</f>
        <v/>
      </c>
      <c r="M49" s="28" t="s">
        <v>46</v>
      </c>
    </row>
    <row r="50" spans="1:13" ht="15.75">
      <c r="A50" s="8" t="s">
        <v>12</v>
      </c>
      <c r="B50" s="5" t="str">
        <f>IFERROR(INDEX(GERAL[CPF],MATCH(PARCELAS[[#This Row],[NOME]],GERAL[NOME],0)),"-")</f>
        <v>046.931.264-54</v>
      </c>
      <c r="C50" s="16">
        <f ca="1">COUNTIF(PARCELAS[[#Headers],[NOME]]:PARCELAS[[#This Row],[NOME]],PARCELAS[[#This Row],[NOME]])</f>
        <v>17</v>
      </c>
      <c r="D50" s="10">
        <v>1000</v>
      </c>
      <c r="E50" s="9"/>
      <c r="F50" s="11" t="s">
        <v>11</v>
      </c>
      <c r="G50" s="25" t="str">
        <f>IFERROR(INDEX(GERAL[PIX],MATCH(PARCELAS[[#This Row],[NOME]],GERAL[NOME],0)),"-")</f>
        <v>046.931.264-54</v>
      </c>
      <c r="I50" s="26" cm="1">
        <f t="array" ref="I50">IFERROR(IF(PARCELAS[[#This Row],[DATA]]&lt;&gt;"",30000 - SUMPRODUCT((PARCELAS[NOME]=PARCELAS[[#This Row],[NOME]])*(ROW(PARCELAS[NOME])&lt;=ROW(PARCELAS[[#This Row],[NOME]]))*PARCELAS[VALOR]),I49),"")</f>
        <v>4500</v>
      </c>
      <c r="J50" s="25" t="str">
        <f>IF(DAY(PARCELAS[[#This Row],[DATA]])=0,"",TEXT(DAY(PARCELAS[[#This Row],[DATA]]),"00"))</f>
        <v/>
      </c>
      <c r="K50" s="27" t="str">
        <f>IF(PARCELAS[[#This Row],[DATA]]="","",INDEX(MESES[MÊS],MATCH(MONTH(PARCELAS[[#This Row],[DATA]]),MESES[N],0)))</f>
        <v/>
      </c>
      <c r="L50" s="25" t="str">
        <f>IF(YEAR(PARCELAS[[#This Row],[DATA]])=1900,"",YEAR(PARCELAS[[#This Row],[DATA]]))</f>
        <v/>
      </c>
      <c r="M50" s="28" t="s">
        <v>43</v>
      </c>
    </row>
    <row r="51" spans="1:13" ht="15.75">
      <c r="A51" s="8" t="s">
        <v>17</v>
      </c>
      <c r="B51" s="5" t="str">
        <f>IFERROR(INDEX(GERAL[CPF],MATCH(PARCELAS[[#This Row],[NOME]],GERAL[NOME],0)),"-")</f>
        <v>064.142.434-50</v>
      </c>
      <c r="C51" s="16">
        <f ca="1">COUNTIF(PARCELAS[[#Headers],[NOME]]:PARCELAS[[#This Row],[NOME]],PARCELAS[[#This Row],[NOME]])</f>
        <v>17</v>
      </c>
      <c r="D51" s="10">
        <v>1000</v>
      </c>
      <c r="E51" s="9"/>
      <c r="F51" s="11" t="s">
        <v>11</v>
      </c>
      <c r="G51" s="25" t="str">
        <f>IFERROR(INDEX(GERAL[PIX],MATCH(PARCELAS[[#This Row],[NOME]],GERAL[NOME],0)),"-")</f>
        <v>064.142.434-50</v>
      </c>
      <c r="I51" s="26" cm="1">
        <f t="array" ref="I51">IFERROR(IF(PARCELAS[[#This Row],[DATA]]&lt;&gt;"",30000 - SUMPRODUCT((PARCELAS[NOME]=PARCELAS[[#This Row],[NOME]])*(ROW(PARCELAS[NOME])&lt;=ROW(PARCELAS[[#This Row],[NOME]]))*PARCELAS[VALOR]),I50),"")</f>
        <v>4500</v>
      </c>
      <c r="J51" s="25" t="str">
        <f>IF(DAY(PARCELAS[[#This Row],[DATA]])=0,"",TEXT(DAY(PARCELAS[[#This Row],[DATA]]),"00"))</f>
        <v/>
      </c>
      <c r="K51" s="27" t="str">
        <f>IF(PARCELAS[[#This Row],[DATA]]="","",INDEX(MESES[MÊS],MATCH(MONTH(PARCELAS[[#This Row],[DATA]]),MESES[N],0)))</f>
        <v/>
      </c>
      <c r="L51" s="25" t="str">
        <f>IF(YEAR(PARCELAS[[#This Row],[DATA]])=1900,"",YEAR(PARCELAS[[#This Row],[DATA]]))</f>
        <v/>
      </c>
      <c r="M51" s="28" t="s">
        <v>46</v>
      </c>
    </row>
    <row r="52" spans="1:13" ht="15.75">
      <c r="A52" s="8" t="s">
        <v>23</v>
      </c>
      <c r="B52" s="5" t="str">
        <f>IFERROR(INDEX(GERAL[CPF],MATCH(PARCELAS[[#This Row],[NOME]],GERAL[NOME],0)),"-")</f>
        <v>341.267.018-93</v>
      </c>
      <c r="C52" s="16">
        <f ca="1">COUNTIF(PARCELAS[[#Headers],[NOME]]:PARCELAS[[#This Row],[NOME]],PARCELAS[[#This Row],[NOME]])</f>
        <v>17</v>
      </c>
      <c r="D52" s="10">
        <v>1000</v>
      </c>
      <c r="E52" s="9"/>
      <c r="F52" s="11" t="s">
        <v>11</v>
      </c>
      <c r="G52" s="25" t="str">
        <f>IFERROR(INDEX(GERAL[PIX],MATCH(PARCELAS[[#This Row],[NOME]],GERAL[NOME],0)),"-")</f>
        <v>(82)99929-1488</v>
      </c>
      <c r="I52" s="26" cm="1">
        <f t="array" ref="I52">IFERROR(IF(PARCELAS[[#This Row],[DATA]]&lt;&gt;"",30000 - SUMPRODUCT((PARCELAS[NOME]=PARCELAS[[#This Row],[NOME]])*(ROW(PARCELAS[NOME])&lt;=ROW(PARCELAS[[#This Row],[NOME]]))*PARCELAS[VALOR]),I51),"")</f>
        <v>4500</v>
      </c>
      <c r="J52" s="25" t="str">
        <f>IF(DAY(PARCELAS[[#This Row],[DATA]])=0,"",TEXT(DAY(PARCELAS[[#This Row],[DATA]]),"00"))</f>
        <v/>
      </c>
      <c r="K52" s="27" t="str">
        <f>IF(PARCELAS[[#This Row],[DATA]]="","",INDEX(MESES[MÊS],MATCH(MONTH(PARCELAS[[#This Row],[DATA]]),MESES[N],0)))</f>
        <v/>
      </c>
      <c r="L52" s="25" t="str">
        <f>IF(YEAR(PARCELAS[[#This Row],[DATA]])=1900,"",YEAR(PARCELAS[[#This Row],[DATA]]))</f>
        <v/>
      </c>
      <c r="M52" s="28" t="s">
        <v>46</v>
      </c>
    </row>
    <row r="53" spans="1:13" ht="15.75">
      <c r="A53" s="8" t="s">
        <v>12</v>
      </c>
      <c r="B53" s="5" t="str">
        <f>IFERROR(INDEX(GERAL[CPF],MATCH(PARCELAS[[#This Row],[NOME]],GERAL[NOME],0)),"-")</f>
        <v>046.931.264-54</v>
      </c>
      <c r="C53" s="16">
        <f ca="1">COUNTIF(PARCELAS[[#Headers],[NOME]]:PARCELAS[[#This Row],[NOME]],PARCELAS[[#This Row],[NOME]])</f>
        <v>18</v>
      </c>
      <c r="D53" s="10">
        <v>500</v>
      </c>
      <c r="E53" s="9"/>
      <c r="F53" s="11" t="s">
        <v>11</v>
      </c>
      <c r="G53" s="25" t="str">
        <f>IFERROR(INDEX(GERAL[PIX],MATCH(PARCELAS[[#This Row],[NOME]],GERAL[NOME],0)),"-")</f>
        <v>046.931.264-54</v>
      </c>
      <c r="I53" s="26" cm="1">
        <f t="array" ref="I53">IFERROR(IF(PARCELAS[[#This Row],[DATA]]&lt;&gt;"",30000 - SUMPRODUCT((PARCELAS[NOME]=PARCELAS[[#This Row],[NOME]])*(ROW(PARCELAS[NOME])&lt;=ROW(PARCELAS[[#This Row],[NOME]]))*PARCELAS[VALOR]),I52),"")</f>
        <v>4500</v>
      </c>
      <c r="J53" s="25" t="str">
        <f>IF(DAY(PARCELAS[[#This Row],[DATA]])=0,"",TEXT(DAY(PARCELAS[[#This Row],[DATA]]),"00"))</f>
        <v/>
      </c>
      <c r="K53" s="27" t="str">
        <f>IF(PARCELAS[[#This Row],[DATA]]="","",INDEX(MESES[MÊS],MATCH(MONTH(PARCELAS[[#This Row],[DATA]]),MESES[N],0)))</f>
        <v/>
      </c>
      <c r="L53" s="25" t="str">
        <f>IF(YEAR(PARCELAS[[#This Row],[DATA]])=1900,"",YEAR(PARCELAS[[#This Row],[DATA]]))</f>
        <v/>
      </c>
      <c r="M53" s="28" t="s">
        <v>43</v>
      </c>
    </row>
    <row r="54" spans="1:13" ht="15.75">
      <c r="A54" s="8" t="s">
        <v>17</v>
      </c>
      <c r="B54" s="5" t="str">
        <f>IFERROR(INDEX(GERAL[CPF],MATCH(PARCELAS[[#This Row],[NOME]],GERAL[NOME],0)),"-")</f>
        <v>064.142.434-50</v>
      </c>
      <c r="C54" s="16">
        <f ca="1">COUNTIF(PARCELAS[[#Headers],[NOME]]:PARCELAS[[#This Row],[NOME]],PARCELAS[[#This Row],[NOME]])</f>
        <v>18</v>
      </c>
      <c r="D54" s="10">
        <v>500</v>
      </c>
      <c r="E54" s="9"/>
      <c r="F54" s="11" t="s">
        <v>11</v>
      </c>
      <c r="G54" s="25" t="str">
        <f>IFERROR(INDEX(GERAL[PIX],MATCH(PARCELAS[[#This Row],[NOME]],GERAL[NOME],0)),"-")</f>
        <v>064.142.434-50</v>
      </c>
      <c r="I54" s="26" cm="1">
        <f t="array" ref="I54">IFERROR(IF(PARCELAS[[#This Row],[DATA]]&lt;&gt;"",30000 - SUMPRODUCT((PARCELAS[NOME]=PARCELAS[[#This Row],[NOME]])*(ROW(PARCELAS[NOME])&lt;=ROW(PARCELAS[[#This Row],[NOME]]))*PARCELAS[VALOR]),I53),"")</f>
        <v>4500</v>
      </c>
      <c r="J54" s="25" t="str">
        <f>IF(DAY(PARCELAS[[#This Row],[DATA]])=0,"",TEXT(DAY(PARCELAS[[#This Row],[DATA]]),"00"))</f>
        <v/>
      </c>
      <c r="K54" s="27" t="str">
        <f>IF(PARCELAS[[#This Row],[DATA]]="","",INDEX(MESES[MÊS],MATCH(MONTH(PARCELAS[[#This Row],[DATA]]),MESES[N],0)))</f>
        <v/>
      </c>
      <c r="L54" s="25" t="str">
        <f>IF(YEAR(PARCELAS[[#This Row],[DATA]])=1900,"",YEAR(PARCELAS[[#This Row],[DATA]]))</f>
        <v/>
      </c>
      <c r="M54" s="28" t="s">
        <v>46</v>
      </c>
    </row>
    <row r="55" spans="1:13" ht="15.75">
      <c r="A55" s="8" t="s">
        <v>23</v>
      </c>
      <c r="B55" s="5" t="str">
        <f>IFERROR(INDEX(GERAL[CPF],MATCH(PARCELAS[[#This Row],[NOME]],GERAL[NOME],0)),"-")</f>
        <v>341.267.018-93</v>
      </c>
      <c r="C55" s="16">
        <f ca="1">COUNTIF(PARCELAS[[#Headers],[NOME]]:PARCELAS[[#This Row],[NOME]],PARCELAS[[#This Row],[NOME]])</f>
        <v>18</v>
      </c>
      <c r="D55" s="10">
        <v>500</v>
      </c>
      <c r="E55" s="9"/>
      <c r="F55" s="11" t="s">
        <v>11</v>
      </c>
      <c r="G55" s="25" t="str">
        <f>IFERROR(INDEX(GERAL[PIX],MATCH(PARCELAS[[#This Row],[NOME]],GERAL[NOME],0)),"-")</f>
        <v>(82)99929-1488</v>
      </c>
      <c r="I55" s="26" cm="1">
        <f t="array" ref="I55">IFERROR(IF(PARCELAS[[#This Row],[DATA]]&lt;&gt;"",30000 - SUMPRODUCT((PARCELAS[NOME]=PARCELAS[[#This Row],[NOME]])*(ROW(PARCELAS[NOME])&lt;=ROW(PARCELAS[[#This Row],[NOME]]))*PARCELAS[VALOR]),I54),"")</f>
        <v>4500</v>
      </c>
      <c r="J55" s="25" t="str">
        <f>IF(DAY(PARCELAS[[#This Row],[DATA]])=0,"",TEXT(DAY(PARCELAS[[#This Row],[DATA]]),"00"))</f>
        <v/>
      </c>
      <c r="K55" s="27" t="str">
        <f>IF(PARCELAS[[#This Row],[DATA]]="","",INDEX(MESES[MÊS],MATCH(MONTH(PARCELAS[[#This Row],[DATA]]),MESES[N],0)))</f>
        <v/>
      </c>
      <c r="L55" s="25" t="str">
        <f>IF(YEAR(PARCELAS[[#This Row],[DATA]])=1900,"",YEAR(PARCELAS[[#This Row],[DATA]]))</f>
        <v/>
      </c>
      <c r="M55" s="28" t="s">
        <v>46</v>
      </c>
    </row>
  </sheetData>
  <phoneticPr fontId="4" type="noConversion"/>
  <conditionalFormatting sqref="I2:I55">
    <cfRule type="cellIs" dxfId="14" priority="1" operator="equal">
      <formula>0</formula>
    </cfRule>
  </conditionalFormatting>
  <dataValidations count="2">
    <dataValidation type="list" allowBlank="1" showInputMessage="1" showErrorMessage="1" sqref="F2:F55" xr:uid="{80E9E4ED-85D5-466A-90B9-E4E74AEFE420}">
      <formula1>"PIX,TED/TRANSFERÊNCIA,ESPÉCIE"</formula1>
    </dataValidation>
    <dataValidation type="list" allowBlank="1" showInputMessage="1" showErrorMessage="1" sqref="A2:A55" xr:uid="{1D45C3F5-D46C-4834-9364-65E1A8962D69}">
      <formula1>INDIRECT("GERAL[NOME]")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Alisson Vinicius</dc:creator>
  <cp:keywords/>
  <dc:description/>
  <cp:lastModifiedBy/>
  <cp:revision/>
  <dcterms:created xsi:type="dcterms:W3CDTF">2025-08-21T20:36:16Z</dcterms:created>
  <dcterms:modified xsi:type="dcterms:W3CDTF">2026-10-05T00:37:15Z</dcterms:modified>
  <cp:category/>
  <cp:contentStatus/>
</cp:coreProperties>
</file>